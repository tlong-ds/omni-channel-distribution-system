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Time" sheetId="1" state="visible" r:id="rId3"/>
    <sheet name="Q2.2 Safety Stock" sheetId="2" state="visible" r:id="rId4"/>
    <sheet name="LT Sensitivity" sheetId="3" state="visible" r:id="rId5"/>
    <sheet name="Q2.2 Pool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<sst xmlns="http://schemas.openxmlformats.org/spreadsheetml/2006/main" count="152" uniqueCount="123">
  <si>
    <t xml:space="preserve">LEAD TIME ANALYSIS — Định nghĩa, Giả định &amp; Bằng chứng thực nghiệm</t>
  </si>
  <si>
    <t xml:space="preserve">A.  ĐỊNH NGHĨA &amp; GIỚI HẠN DỮ LIỆU</t>
  </si>
  <si>
    <t xml:space="preserve">Replenishment Lead Time = thời gian từ khi kho phát hiện cần bổ sung → hàng sẵn sàng pick lại. KHÁC delivery SLA (giao tới khách).</t>
  </si>
  <si>
    <t xml:space="preserve">GIỚI HẠN DATA: File chỉ có created_date (ngày XUẤT outbound). KHÔNG có PO date / Goods Receipt date → không thể tính LT trực tiếp. LT dưới đây là GIẢ ĐỊNH có cơ sở, hiệu chỉnh bằng bằng chứng inter-shipment.</t>
  </si>
  <si>
    <t xml:space="preserve">B.  PHÂN RÃ LEAD TIME (giả định theo benchmark logistics VN)</t>
  </si>
  <si>
    <t xml:space="preserve">Thành phần</t>
  </si>
  <si>
    <t xml:space="preserve">B2B (Factory→RDC)</t>
  </si>
  <si>
    <t xml:space="preserve">B2C (RDC→Dark store)</t>
  </si>
  <si>
    <t xml:space="preserve">Giải thích</t>
  </si>
  <si>
    <t xml:space="preserve">T_review (rà soát tồn)</t>
  </si>
  <si>
    <t xml:space="preserve">B2B review hằng ngày; B2C review 2 lần/ngày</t>
  </si>
  <si>
    <t xml:space="preserve">T_PO (tạo + duyệt PO)</t>
  </si>
  <si>
    <t xml:space="preserve">B2C dùng auto-replenish, không cần PO thủ công</t>
  </si>
  <si>
    <t xml:space="preserve">T_supplier (chuẩn bị hàng)</t>
  </si>
  <si>
    <t xml:space="preserve">Nhà máy SEB chuẩn bị lô lớn; B2C lấy từ RDC sẵn có</t>
  </si>
  <si>
    <t xml:space="preserve">T_transport</t>
  </si>
  <si>
    <t xml:space="preserve">B2B nội vùng ĐNB; B2C &lt;15km giao trong ngày</t>
  </si>
  <si>
    <t xml:space="preserve">T_receiving (nhận+QC)</t>
  </si>
  <si>
    <t xml:space="preserve">Kiểm đếm nhập kho</t>
  </si>
  <si>
    <t xml:space="preserve">T_putaway (nhập kệ)</t>
  </si>
  <si>
    <t xml:space="preserve">Sẵn sàng để pick</t>
  </si>
  <si>
    <t xml:space="preserve">TỔNG LEAD TIME</t>
  </si>
  <si>
    <t xml:space="preserve">B2B = 5 ngày | B2C = 2 ngày</t>
  </si>
  <si>
    <t xml:space="preserve">C.  BẰNG CHỨNG THỰC NGHIỆM (từ data — inter-shipment interval)</t>
  </si>
  <si>
    <t xml:space="preserve">Cái DUY NHẤT rút được từ created_date: khoảng cách giữa 2 lần xuất kho cùng SKU. Đây là NHỊP BÁN, không phải LT, nhưng dùng để CROSS-CHECK giả định LT có hợp lý không.</t>
  </si>
  <si>
    <t xml:space="preserve">Chỉ số (Class A)</t>
  </si>
  <si>
    <t xml:space="preserve">Giá trị</t>
  </si>
  <si>
    <t xml:space="preserve">Diễn giải</t>
  </si>
  <si>
    <t xml:space="preserve">Median inter-shipment gap</t>
  </si>
  <si>
    <t xml:space="preserve">2.0 ngày</t>
  </si>
  <si>
    <t xml:space="preserve">Nhịp xuất kho điển hình → khớp với LT_B2C=2 ngày</t>
  </si>
  <si>
    <t xml:space="preserve">Mean inter-shipment gap</t>
  </si>
  <si>
    <t xml:space="preserve">7.7 ngày</t>
  </si>
  <si>
    <t xml:space="preserve">TB có đuôi dài (SKU bán lô) → gần LT_B2B=5 ngày</t>
  </si>
  <si>
    <t xml:space="preserve">Kết luận</t>
  </si>
  <si>
    <t xml:space="preserve">Giả định hợp lý</t>
  </si>
  <si>
    <t xml:space="preserve">LT_B2C=2d và LT_B2B=5d nằm trong khoảng quan sát thực tế</t>
  </si>
  <si>
    <t xml:space="preserve">D.  CÁCH ĐO LEAD TIME ĐÚNG KHI TRIỂN KHAI THẬT</t>
  </si>
  <si>
    <t xml:space="preserve">LT_actual = Goods Receipt Date − PO Creation Date (lấy từ module mua hàng SAP/ERP). Đo trên nhiều đơn nhập → lấy CẢ trung bình (LT) lẫn độ lệch chuẩn (σ_LT) để dùng công thức safety stock đầy đủ.</t>
  </si>
  <si>
    <t xml:space="preserve">Q2.2 — SAFETY STOCK cho 28 CLASS A SKUs</t>
  </si>
  <si>
    <t xml:space="preserve">CÔNG THỨC</t>
  </si>
  <si>
    <t xml:space="preserve">Công thức đầy đủ (gồm cả biến động nhu cầu VÀ biến động lead time):  SS = Z × √(LT × σ_d² + d² × σ_LT²)</t>
  </si>
  <si>
    <t xml:space="preserve">Z = 1.645 (95% service level) | σ_d = σ_daily = σ_monthly/√30 | d = μ_daily = μ_monthly/30 | LT_B2B=5d (σ_LT=1d), LT_B2C=2d (σ_LT=0.5d)</t>
  </si>
  <si>
    <t xml:space="preserve">ROP (điểm tái đặt) = d × LT + SS | σ_monthly = độ lệch chuẩn nhu cầu 7 tháng (ddof=1), tính từ transaction history.</t>
  </si>
  <si>
    <t xml:space="preserve">SKU</t>
  </si>
  <si>
    <t xml:space="preserve">Sản phẩm</t>
  </si>
  <si>
    <t xml:space="preserve">ABC-
XYZ</t>
  </si>
  <si>
    <t xml:space="preserve">μ tháng</t>
  </si>
  <si>
    <t xml:space="preserve">σ tháng</t>
  </si>
  <si>
    <t xml:space="preserve">μ ngày</t>
  </si>
  <si>
    <t xml:space="preserve">σ ngày</t>
  </si>
  <si>
    <t xml:space="preserve">Z</t>
  </si>
  <si>
    <t xml:space="preserve">SS B2B
(LT5,σ1)</t>
  </si>
  <si>
    <t xml:space="preserve">ROP
B2B</t>
  </si>
  <si>
    <t xml:space="preserve">SS B2C
(LT2,σ0.5)</t>
  </si>
  <si>
    <t xml:space="preserve">ROP
B2C</t>
  </si>
  <si>
    <t xml:space="preserve">Quạt lửng ASIAVINA - VY628</t>
  </si>
  <si>
    <t xml:space="preserve">AY</t>
  </si>
  <si>
    <t xml:space="preserve">Quạt đứng ASIAVINA Turbo X</t>
  </si>
  <si>
    <t xml:space="preserve">AZ</t>
  </si>
  <si>
    <t xml:space="preserve">Quạt lửng ASIAvina - VY538</t>
  </si>
  <si>
    <t xml:space="preserve">Quạt trần đảo ASIAvina - X</t>
  </si>
  <si>
    <t xml:space="preserve">Quạt sàn ASIAvina - VY6367</t>
  </si>
  <si>
    <t xml:space="preserve">Quạt đứng Tefal - VF2820F0</t>
  </si>
  <si>
    <t xml:space="preserve">Quạt treo ASIAvina - VY377</t>
  </si>
  <si>
    <t xml:space="preserve">AX</t>
  </si>
  <si>
    <t xml:space="preserve">Quạt treo ASIAVINA Turbo X</t>
  </si>
  <si>
    <t xml:space="preserve">Quạt sàn ASIAVINA TURBO MA</t>
  </si>
  <si>
    <t xml:space="preserve">Quạt đứng ASIAvina - VY639</t>
  </si>
  <si>
    <t xml:space="preserve">Quạt treo ASIAVINA VY35779</t>
  </si>
  <si>
    <t xml:space="preserve">Quạt đứng ASIAvina - VY539</t>
  </si>
  <si>
    <t xml:space="preserve">Quạt treo ASIAvina - VY357</t>
  </si>
  <si>
    <t xml:space="preserve">QUẠT SÀN TURBO VY616990</t>
  </si>
  <si>
    <t xml:space="preserve">QUẠT ĐỨNG VY619990</t>
  </si>
  <si>
    <t xml:space="preserve">Quạt đứng - TEFAL - VF4420</t>
  </si>
  <si>
    <t xml:space="preserve">QUẠT treo ASIAVINA TURBO V</t>
  </si>
  <si>
    <t xml:space="preserve">Quạt treo ASIAVINA - VY377</t>
  </si>
  <si>
    <t xml:space="preserve">QUẠT SÀN TURB0 VY616790</t>
  </si>
  <si>
    <t xml:space="preserve">—</t>
  </si>
  <si>
    <t xml:space="preserve">Quạt lửng ASIAvina - VY358</t>
  </si>
  <si>
    <t xml:space="preserve">Quạt treo ASIAVINA - VY617</t>
  </si>
  <si>
    <t xml:space="preserve">Quạt treo ASIAVINA VY35719</t>
  </si>
  <si>
    <t xml:space="preserve">Bàn ủi khô tích hợp bình x</t>
  </si>
  <si>
    <t xml:space="preserve">TỔNG</t>
  </si>
  <si>
    <t xml:space="preserve">Màu: AX=ổn định (SS thấp) · AY=mùa vụ (SS vừa) · AZ=thất thường (SS cao nhất). Nhóm AZ cần buffer lớn + theo dõi sát.</t>
  </si>
  <si>
    <t xml:space="preserve">PHÂN TÍCH ĐỘ NHẠY — Safety Stock theo Lead Time</t>
  </si>
  <si>
    <t xml:space="preserve">Tổng SS (Class A) thay đổi thế nào khi LT thay đổi 2→7 ngày (dùng công thức đơn giản SS=Z×σ_d×√LT). Cho thấy rút ngắn LT giảm mạnh vốn tồn kho.</t>
  </si>
  <si>
    <t xml:space="preserve">Lead Time (ngày)</t>
  </si>
  <si>
    <t xml:space="preserve">Tổng Safety Stock (units)</t>
  </si>
  <si>
    <t xml:space="preserve">Δ so với LT=2</t>
  </si>
  <si>
    <t xml:space="preserve">Ghi chú</t>
  </si>
  <si>
    <t xml:space="preserve">LT_B2C giả định</t>
  </si>
  <si>
    <t xml:space="preserve">LT_B2B giả định</t>
  </si>
  <si>
    <t xml:space="preserve">Kịch bản LT xấu</t>
  </si>
  <si>
    <t xml:space="preserve">Q2.2 — INVENTORY POOLING STRATEGY (B2B ↔ B2C)</t>
  </si>
  <si>
    <t xml:space="preserve">A.  NGUYÊN LÝ — Tại sao gộp tồn kho giảm safety stock?</t>
  </si>
  <si>
    <t xml:space="preserve">Tách riêng: SS = Z×σ×√LT_B2B + Z×σ×√LT_B2C = Z×σ×(√5+√2) = Z×σ×3.650</t>
  </si>
  <si>
    <t xml:space="preserve">Gộp chung (risk pooling): SS = Z×σ×√((LT_B2B+LT_B2C)/2) = Z×σ×√3.5 = Z×σ×1.871. Rủi ro 2 kênh bù trừ nhau.</t>
  </si>
  <si>
    <t xml:space="preserve">Hệ số giảm = √3.5/(√5+√2) = 0.5125 → POOLING GIẢM ~48.7% safety stock so với tách riêng.</t>
  </si>
  <si>
    <t xml:space="preserve">B.  CHỨNG MINH SỐ HỌC (tổng Class A)</t>
  </si>
  <si>
    <t xml:space="preserve">Phương án</t>
  </si>
  <si>
    <t xml:space="preserve">Công thức</t>
  </si>
  <si>
    <t xml:space="preserve">Tổng SS (units)</t>
  </si>
  <si>
    <t xml:space="preserve">% so với tách riêng</t>
  </si>
  <si>
    <t xml:space="preserve">Tách riêng B2B+B2C</t>
  </si>
  <si>
    <t xml:space="preserve">Z×σ×(√5+√2)</t>
  </si>
  <si>
    <t xml:space="preserve">100%</t>
  </si>
  <si>
    <t xml:space="preserve">Pooling (gộp chung)</t>
  </si>
  <si>
    <t xml:space="preserve">Z×σ×√3.5</t>
  </si>
  <si>
    <t xml:space="preserve">TIẾT KIỆM</t>
  </si>
  <si>
    <t xml:space="preserve">C.  QUY TẮC PHÂN BỔ ĐỘNG (chống stockout đồng thời)</t>
  </si>
  <si>
    <t xml:space="preserve">R1 — Common Pool</t>
  </si>
  <si>
    <t xml:space="preserve">Gộp tồn B2B+B2C mỗi SKU vào 1 pool chung, theo dõi real-time qua WMS.</t>
  </si>
  <si>
    <t xml:space="preserve">R2 — Reserved Floor mỗi kênh</t>
  </si>
  <si>
    <t xml:space="preserve">Mỗi kênh giữ mức sàn = ROP riêng. B2B floor=ROP_B2B, B2C floor=ROP_B2C. Không kênh nào lấy phần dưới sàn của kênh kia.</t>
  </si>
  <si>
    <t xml:space="preserve">R3 — Cảnh báo Amber</t>
  </si>
  <si>
    <t xml:space="preserve">Khi pool &lt; (SS_B2B+SS_B2C): hệ thống cảnh báo, ưu tiên đơn đã xác nhận (B2B PO hợp đồng).</t>
  </si>
  <si>
    <t xml:space="preserve">R4 — Xung đột cùng SKU (Red)</t>
  </si>
  <si>
    <t xml:space="preserve">Cùng SKU cả B2B+B2C đặt mà thiếu: B2B nhận đủ theo PO trước (cam kết hợp đồng/phạt), B2C nhận phần dư + chuyển wave sau + báo khách.</t>
  </si>
  <si>
    <t xml:space="preserve">R5 — AZ spike freeze</t>
  </si>
  <si>
    <t xml:space="preserve">SKU nhóm AZ khi phát hiện spike đột biến: tạm khóa cấp B2C, dồn B2B, kích hoạt emergency replenishment.</t>
  </si>
  <si>
    <t xml:space="preserve">R6 — Rebalance cuối ngày</t>
  </si>
  <si>
    <t xml:space="preserve">Cuối ngày cân bằng lại tồn 2 kênh về đúng tỷ lệ ROP, dựa trên forecast 7 ngày tới.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</si>
</sst>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#,##0"/>
    <numFmt numFmtId="167" formatCode="#,##0.0"/>
    <numFmt numFmtId="168" formatCode="0.000"/>
    <numFmt numFmtId="169" formatCode="\+#,##0;\-#,##0"/>
    <numFmt numFmtId="170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1A527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7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217A5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BDD7EE"/>
        <bgColor rgb="FFD0D0D0"/>
      </patternFill>
    </fill>
    <fill>
      <patternFill patternType="solid">
        <fgColor rgb="FFEBF4F9"/>
        <bgColor rgb="FFD9F2EE"/>
      </patternFill>
    </fill>
    <fill>
      <patternFill patternType="solid">
        <fgColor rgb="FF2E5496"/>
        <bgColor rgb="FF1A5276"/>
      </patternFill>
    </fill>
    <fill>
      <patternFill patternType="solid">
        <fgColor rgb="FFDEEAF1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FF9E6"/>
      </patternFill>
    </fill>
    <fill>
      <patternFill patternType="solid">
        <fgColor rgb="FFD6E4F0"/>
        <bgColor rgb="FFDEEAF1"/>
      </patternFill>
    </fill>
    <fill>
      <patternFill patternType="solid">
        <fgColor rgb="FFFFF9E6"/>
        <bgColor rgb="FFFFFFFF"/>
      </patternFill>
    </fill>
    <fill>
      <patternFill patternType="solid">
        <fgColor rgb="FFFFF2CC"/>
        <bgColor rgb="FFFFF9E6"/>
      </patternFill>
    </fill>
    <fill>
      <patternFill patternType="solid">
        <fgColor rgb="FFD9F2EE"/>
        <bgColor rgb="FFDEEAF1"/>
      </patternFill>
    </fill>
    <fill>
      <patternFill patternType="solid">
        <fgColor rgb="FFE2EFDA"/>
        <bgColor rgb="FFD9F2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A50"/>
      <rgbColor rgb="FFD0D0D0"/>
      <rgbColor rgb="FF878787"/>
      <rgbColor rgb="FF9999FF"/>
      <rgbColor rgb="FF993366"/>
      <rgbColor rgb="FFFFF9E6"/>
      <rgbColor rgb="FFD9F2EE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9"/>
      <rgbColor rgb="FFE2EFDA"/>
      <rgbColor rgb="FFFFF2CC"/>
      <rgbColor rgb="FFD6E4F0"/>
      <rgbColor rgb="FFDEEAF1"/>
      <rgbColor rgb="FFD9D9D9"/>
      <rgbColor rgb="FFFCE4D6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1A527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Safety Stock vs Lead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'LT Sensitivity'!C4</c:f>
              <c:strCache>
                <c:ptCount val="1"/>
                <c:pt idx="0">
                  <c:v>Tổng Safety Stock (units)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'LT Sensitivity'!$B$5:$B$10</c:f>
              <c:strCach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strCache>
            </c:strRef>
          </c:cat>
          <c:val>
            <c:numRef>
              <c:f>'LT Sensitivity'!$C$5:$C$10</c:f>
              <c:numCache>
                <c:formatCode>#,##0</c:formatCode>
                <c:ptCount val="6"/>
                <c:pt idx="0">
                  <c:v>12340</c:v>
                </c:pt>
                <c:pt idx="1">
                  <c:v>15114</c:v>
                </c:pt>
                <c:pt idx="2">
                  <c:v>17452</c:v>
                </c:pt>
                <c:pt idx="3">
                  <c:v>19512</c:v>
                </c:pt>
                <c:pt idx="4">
                  <c:v>21374</c:v>
                </c:pt>
                <c:pt idx="5">
                  <c:v>23086</c:v>
                </c:pt>
              </c:numCache>
            </c:numRef>
          </c:val>
        </c:ser>
        <c:gapWidth val="150"/>
        <c:overlap val="0"/>
        <c:axId val="57234951"/>
        <c:axId val="87467000"/>
      </c:barChart>
      <c:catAx>
        <c:axId val="572349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Lead Time (days)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467000"/>
        <c:crosses val="autoZero"/>
        <c:auto val="1"/>
        <c:lblAlgn val="ctr"/>
        <c:lblOffset val="100"/>
        <c:noMultiLvlLbl val="0"/>
      </c:catAx>
      <c:valAx>
        <c:axId val="874670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SS (units)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349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14</xdr:col>
      <xdr:colOff>439200</xdr:colOff>
      <xdr:row>9</xdr:row>
      <xdr:rowOff>125640</xdr:rowOff>
    </xdr:to>
    <xdr:graphicFrame>
      <xdr:nvGraphicFramePr>
        <xdr:cNvPr id="0" name="Chart 1"/>
        <xdr:cNvGraphicFramePr/>
      </xdr:nvGraphicFramePr>
      <xdr:xfrm>
        <a:off x="5991120" y="9237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40"/>
    <col collapsed="false" customWidth="true" hidden="false" outlineLevel="0" max="9" min="7" style="0" width="3"/>
  </cols>
  <sheetData>
    <row r="1" customFormat="false" ht="27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25.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</row>
    <row r="5" customFormat="false" ht="36" hidden="false" customHeight="true" outlineLevel="0" collapsed="false">
      <c r="B5" s="3" t="s">
        <v>3</v>
      </c>
      <c r="C5" s="3"/>
      <c r="D5" s="3"/>
      <c r="E5" s="3"/>
      <c r="F5" s="3"/>
      <c r="G5" s="3"/>
      <c r="H5" s="3"/>
      <c r="I5" s="3"/>
    </row>
    <row r="7" customFormat="false" ht="21.75" hidden="false" customHeight="true" outlineLevel="0" collapsed="false">
      <c r="B7" s="2" t="s">
        <v>4</v>
      </c>
      <c r="C7" s="2"/>
      <c r="D7" s="2"/>
      <c r="E7" s="2"/>
      <c r="F7" s="2"/>
      <c r="G7" s="2"/>
      <c r="H7" s="2"/>
      <c r="I7" s="2"/>
    </row>
    <row r="8" customFormat="false" ht="95.5" hidden="false" customHeight="false" outlineLevel="0" collapsed="false">
      <c r="B8" s="4" t="s">
        <v>5</v>
      </c>
      <c r="C8" s="4" t="s">
        <v>6</v>
      </c>
      <c r="D8" s="4" t="s">
        <v>7</v>
      </c>
      <c r="E8" s="4" t="s">
        <v>8</v>
      </c>
    </row>
    <row r="9" customFormat="false" ht="19.5" hidden="false" customHeight="true" outlineLevel="0" collapsed="false">
      <c r="B9" s="5" t="s">
        <v>9</v>
      </c>
      <c r="C9" s="6" t="n">
        <v>1</v>
      </c>
      <c r="D9" s="7" t="n">
        <v>0.5</v>
      </c>
      <c r="E9" s="8" t="s">
        <v>10</v>
      </c>
    </row>
    <row r="10" customFormat="false" ht="19.5" hidden="false" customHeight="true" outlineLevel="0" collapsed="false">
      <c r="B10" s="9" t="s">
        <v>11</v>
      </c>
      <c r="C10" s="6" t="n">
        <v>0.5</v>
      </c>
      <c r="D10" s="7" t="n">
        <v>0</v>
      </c>
      <c r="E10" s="10" t="s">
        <v>12</v>
      </c>
    </row>
    <row r="11" customFormat="false" ht="19.5" hidden="false" customHeight="true" outlineLevel="0" collapsed="false">
      <c r="B11" s="5" t="s">
        <v>13</v>
      </c>
      <c r="C11" s="6" t="n">
        <v>1.5</v>
      </c>
      <c r="D11" s="7" t="n">
        <v>0</v>
      </c>
      <c r="E11" s="8" t="s">
        <v>14</v>
      </c>
    </row>
    <row r="12" customFormat="false" ht="19.5" hidden="false" customHeight="true" outlineLevel="0" collapsed="false">
      <c r="B12" s="9" t="s">
        <v>15</v>
      </c>
      <c r="C12" s="6" t="n">
        <v>1</v>
      </c>
      <c r="D12" s="7" t="n">
        <v>0.5</v>
      </c>
      <c r="E12" s="10" t="s">
        <v>16</v>
      </c>
    </row>
    <row r="13" customFormat="false" ht="19.5" hidden="false" customHeight="true" outlineLevel="0" collapsed="false">
      <c r="B13" s="5" t="s">
        <v>17</v>
      </c>
      <c r="C13" s="6" t="n">
        <v>0.5</v>
      </c>
      <c r="D13" s="7" t="n">
        <v>0.5</v>
      </c>
      <c r="E13" s="8" t="s">
        <v>18</v>
      </c>
    </row>
    <row r="14" customFormat="false" ht="19.5" hidden="false" customHeight="true" outlineLevel="0" collapsed="false">
      <c r="B14" s="9" t="s">
        <v>19</v>
      </c>
      <c r="C14" s="6" t="n">
        <v>0.5</v>
      </c>
      <c r="D14" s="7" t="n">
        <v>0.5</v>
      </c>
      <c r="E14" s="10" t="s">
        <v>20</v>
      </c>
    </row>
    <row r="15" customFormat="false" ht="19.5" hidden="false" customHeight="true" outlineLevel="0" collapsed="false">
      <c r="B15" s="11" t="s">
        <v>21</v>
      </c>
      <c r="C15" s="12" t="n">
        <f aca="false">SUM(D9:D14)</f>
        <v>2</v>
      </c>
      <c r="D15" s="13" t="n">
        <f aca="false">SUM(E9:E14)</f>
        <v>0</v>
      </c>
      <c r="E15" s="11" t="s">
        <v>22</v>
      </c>
    </row>
    <row r="17" customFormat="false" ht="21.75" hidden="false" customHeight="true" outlineLevel="0" collapsed="false">
      <c r="B17" s="2" t="s">
        <v>23</v>
      </c>
      <c r="C17" s="2"/>
      <c r="D17" s="2"/>
      <c r="E17" s="2"/>
      <c r="F17" s="2"/>
      <c r="G17" s="2"/>
      <c r="H17" s="2"/>
      <c r="I17" s="2"/>
    </row>
    <row r="18" customFormat="false" ht="30" hidden="false" customHeight="true" outlineLevel="0" collapsed="false">
      <c r="B18" s="3" t="s">
        <v>24</v>
      </c>
      <c r="C18" s="3"/>
      <c r="D18" s="3"/>
      <c r="E18" s="3"/>
      <c r="F18" s="3"/>
      <c r="G18" s="3"/>
      <c r="H18" s="3"/>
      <c r="I18" s="3"/>
    </row>
    <row r="19" customFormat="false" ht="116.4" hidden="false" customHeight="false" outlineLevel="0" collapsed="false">
      <c r="B19" s="4" t="s">
        <v>25</v>
      </c>
      <c r="C19" s="4" t="s">
        <v>26</v>
      </c>
      <c r="D19" s="4" t="s">
        <v>27</v>
      </c>
    </row>
    <row r="20" customFormat="false" ht="21.75" hidden="false" customHeight="true" outlineLevel="0" collapsed="false">
      <c r="B20" s="14" t="s">
        <v>28</v>
      </c>
      <c r="C20" s="15" t="s">
        <v>29</v>
      </c>
      <c r="D20" s="16" t="s">
        <v>30</v>
      </c>
    </row>
    <row r="21" customFormat="false" ht="21.75" hidden="false" customHeight="true" outlineLevel="0" collapsed="false">
      <c r="B21" s="9" t="s">
        <v>31</v>
      </c>
      <c r="C21" s="17" t="s">
        <v>32</v>
      </c>
      <c r="D21" s="10" t="s">
        <v>33</v>
      </c>
    </row>
    <row r="22" customFormat="false" ht="21.75" hidden="false" customHeight="true" outlineLevel="0" collapsed="false">
      <c r="B22" s="14" t="s">
        <v>34</v>
      </c>
      <c r="C22" s="15" t="s">
        <v>35</v>
      </c>
      <c r="D22" s="16" t="s">
        <v>36</v>
      </c>
    </row>
    <row r="24" customFormat="false" ht="21.75" hidden="false" customHeight="true" outlineLevel="0" collapsed="false">
      <c r="B24" s="2" t="s">
        <v>37</v>
      </c>
      <c r="C24" s="2"/>
      <c r="D24" s="2"/>
      <c r="E24" s="2"/>
      <c r="F24" s="2"/>
      <c r="G24" s="2"/>
      <c r="H24" s="2"/>
      <c r="I24" s="2"/>
    </row>
    <row r="25" customFormat="false" ht="30" hidden="false" customHeight="true" outlineLevel="0" collapsed="false">
      <c r="B25" s="3" t="s">
        <v>38</v>
      </c>
      <c r="C25" s="3"/>
      <c r="D25" s="3"/>
      <c r="E25" s="3"/>
      <c r="F25" s="3"/>
      <c r="G25" s="3"/>
      <c r="H25" s="3"/>
      <c r="I25" s="3"/>
    </row>
  </sheetData>
  <mergeCells count="9">
    <mergeCell ref="B1:I1"/>
    <mergeCell ref="B3:I3"/>
    <mergeCell ref="B4:I4"/>
    <mergeCell ref="B5:I5"/>
    <mergeCell ref="B7:I7"/>
    <mergeCell ref="B17:I17"/>
    <mergeCell ref="B18:I18"/>
    <mergeCell ref="B24:I24"/>
    <mergeCell ref="B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7"/>
    <col collapsed="false" customWidth="true" hidden="false" outlineLevel="0" max="7" min="6" style="0" width="8"/>
    <col collapsed="false" customWidth="true" hidden="false" outlineLevel="0" max="9" min="8" style="0" width="7"/>
    <col collapsed="false" customWidth="true" hidden="false" outlineLevel="0" max="10" min="10" style="0" width="6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9"/>
  </cols>
  <sheetData>
    <row r="1" customFormat="false" ht="27.75" hidden="false" customHeight="true" outlineLevel="0" collapsed="false">
      <c r="B1" s="1" t="s">
        <v>39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21.75" hidden="false" customHeight="true" outlineLevel="0" collapsed="false">
      <c r="B3" s="2" t="s">
        <v>40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25.5" hidden="false" customHeight="true" outlineLevel="0" collapsed="false">
      <c r="B4" s="3" t="s">
        <v>41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25.5" hidden="false" customHeight="true" outlineLevel="0" collapsed="false">
      <c r="B5" s="3" t="s">
        <v>42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25.5" hidden="false" customHeight="true" outlineLevel="0" collapsed="false">
      <c r="B6" s="3" t="s">
        <v>43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8" customFormat="false" ht="30" hidden="false" customHeight="true" outlineLevel="0" collapsed="false">
      <c r="B8" s="18" t="s">
        <v>44</v>
      </c>
      <c r="C8" s="18" t="s">
        <v>45</v>
      </c>
      <c r="D8" s="18" t="s">
        <v>46</v>
      </c>
      <c r="E8" s="18" t="s">
        <v>47</v>
      </c>
      <c r="F8" s="18" t="s">
        <v>48</v>
      </c>
      <c r="G8" s="18" t="s">
        <v>49</v>
      </c>
      <c r="H8" s="18" t="s">
        <v>50</v>
      </c>
      <c r="I8" s="18" t="s">
        <v>51</v>
      </c>
      <c r="J8" s="18" t="s">
        <v>52</v>
      </c>
      <c r="K8" s="18" t="s">
        <v>53</v>
      </c>
      <c r="L8" s="18" t="s">
        <v>54</v>
      </c>
      <c r="M8" s="18" t="s">
        <v>55</v>
      </c>
    </row>
    <row r="9" customFormat="false" ht="12.75" hidden="false" customHeight="true" outlineLevel="0" collapsed="false">
      <c r="B9" s="19" t="n">
        <v>4200009163</v>
      </c>
      <c r="C9" s="20" t="s">
        <v>56</v>
      </c>
      <c r="D9" s="21" t="s">
        <v>57</v>
      </c>
      <c r="E9" s="22" t="n">
        <v>7738</v>
      </c>
      <c r="F9" s="22" t="n">
        <v>7579</v>
      </c>
      <c r="G9" s="23" t="n">
        <f aca="false">E9/30</f>
        <v>257.933333333333</v>
      </c>
      <c r="H9" s="23" t="n">
        <f aca="false">F9/SQRT(30)</f>
        <v>1383.72975444388</v>
      </c>
      <c r="I9" s="24" t="n">
        <v>1.645</v>
      </c>
      <c r="J9" s="25" t="n">
        <f aca="false">I9*SQRT(5*H9^2+G9^2*1^2)</f>
        <v>5107.47195806017</v>
      </c>
      <c r="K9" s="22" t="n">
        <f aca="false">G9*5+J9</f>
        <v>6397.13862472683</v>
      </c>
      <c r="L9" s="25" t="n">
        <f aca="false">I9*SQRT(2*H9^2+G9^2*0.5^2)</f>
        <v>3226.06622762434</v>
      </c>
      <c r="M9" s="22" t="n">
        <f aca="false">G9*2+L9</f>
        <v>3741.93289429101</v>
      </c>
    </row>
    <row r="10" customFormat="false" ht="12.75" hidden="false" customHeight="true" outlineLevel="0" collapsed="false">
      <c r="B10" s="26" t="n">
        <v>4200009000</v>
      </c>
      <c r="C10" s="27" t="s">
        <v>58</v>
      </c>
      <c r="D10" s="28" t="s">
        <v>59</v>
      </c>
      <c r="E10" s="29" t="n">
        <v>1933</v>
      </c>
      <c r="F10" s="29" t="n">
        <v>2352</v>
      </c>
      <c r="G10" s="30" t="n">
        <f aca="false">E10/30</f>
        <v>64.4333333333333</v>
      </c>
      <c r="H10" s="30" t="n">
        <f aca="false">F10/SQRT(30)</f>
        <v>429.41448508405</v>
      </c>
      <c r="I10" s="31" t="n">
        <v>1.645</v>
      </c>
      <c r="J10" s="32" t="n">
        <f aca="false">I10*SQRT(5*H10^2+G10^2*1^2)</f>
        <v>1583.08124690997</v>
      </c>
      <c r="K10" s="29" t="n">
        <f aca="false">G10*5+J10</f>
        <v>1905.24791357664</v>
      </c>
      <c r="L10" s="32" t="n">
        <f aca="false">I10*SQRT(2*H10^2+G10^2*0.5^2)</f>
        <v>1000.38658608535</v>
      </c>
      <c r="M10" s="29" t="n">
        <f aca="false">G10*2+L10</f>
        <v>1129.25325275202</v>
      </c>
    </row>
    <row r="11" customFormat="false" ht="12.75" hidden="false" customHeight="true" outlineLevel="0" collapsed="false">
      <c r="B11" s="26" t="n">
        <v>4200008102</v>
      </c>
      <c r="C11" s="27" t="s">
        <v>60</v>
      </c>
      <c r="D11" s="28" t="s">
        <v>59</v>
      </c>
      <c r="E11" s="29" t="n">
        <v>1811</v>
      </c>
      <c r="F11" s="29" t="n">
        <v>2781</v>
      </c>
      <c r="G11" s="30" t="n">
        <f aca="false">E11/30</f>
        <v>60.3666666666667</v>
      </c>
      <c r="H11" s="30" t="n">
        <f aca="false">F11/SQRT(30)</f>
        <v>507.738810807289</v>
      </c>
      <c r="I11" s="31" t="n">
        <v>1.645</v>
      </c>
      <c r="J11" s="32" t="n">
        <f aca="false">I11*SQRT(5*H11^2+G11^2*1^2)</f>
        <v>1870.26996841299</v>
      </c>
      <c r="K11" s="29" t="n">
        <f aca="false">G11*5+J11</f>
        <v>2172.10330174632</v>
      </c>
      <c r="L11" s="32" t="n">
        <f aca="false">I11*SQRT(2*H11^2+G11^2*0.5^2)</f>
        <v>1182.23717335504</v>
      </c>
      <c r="M11" s="29" t="n">
        <f aca="false">G11*2+L11</f>
        <v>1302.97050668837</v>
      </c>
    </row>
    <row r="12" customFormat="false" ht="12.75" hidden="false" customHeight="true" outlineLevel="0" collapsed="false">
      <c r="B12" s="19" t="n">
        <v>4200000163</v>
      </c>
      <c r="C12" s="20" t="s">
        <v>61</v>
      </c>
      <c r="D12" s="21" t="s">
        <v>57</v>
      </c>
      <c r="E12" s="22" t="n">
        <v>1531</v>
      </c>
      <c r="F12" s="22" t="n">
        <v>1318</v>
      </c>
      <c r="G12" s="23" t="n">
        <f aca="false">E12/30</f>
        <v>51.0333333333333</v>
      </c>
      <c r="H12" s="23" t="n">
        <f aca="false">F12/SQRT(30)</f>
        <v>240.632776930603</v>
      </c>
      <c r="I12" s="24" t="n">
        <v>1.645</v>
      </c>
      <c r="J12" s="25" t="n">
        <f aca="false">I12*SQRT(5*H12^2+G12^2*1^2)</f>
        <v>889.099396318185</v>
      </c>
      <c r="K12" s="22" t="n">
        <f aca="false">G12*5+J12</f>
        <v>1144.26606298485</v>
      </c>
      <c r="L12" s="25" t="n">
        <f aca="false">I12*SQRT(2*H12^2+G12^2*0.5^2)</f>
        <v>561.375060397093</v>
      </c>
      <c r="M12" s="22" t="n">
        <f aca="false">G12*2+L12</f>
        <v>663.44172706376</v>
      </c>
    </row>
    <row r="13" customFormat="false" ht="12.75" hidden="false" customHeight="true" outlineLevel="0" collapsed="false">
      <c r="B13" s="19" t="n">
        <v>4200008999</v>
      </c>
      <c r="C13" s="20" t="s">
        <v>58</v>
      </c>
      <c r="D13" s="21" t="s">
        <v>57</v>
      </c>
      <c r="E13" s="22" t="n">
        <v>1334</v>
      </c>
      <c r="F13" s="22" t="n">
        <v>1124</v>
      </c>
      <c r="G13" s="23" t="n">
        <f aca="false">E13/30</f>
        <v>44.4666666666667</v>
      </c>
      <c r="H13" s="23" t="n">
        <f aca="false">F13/SQRT(30)</f>
        <v>205.213384878602</v>
      </c>
      <c r="I13" s="24" t="n">
        <v>1.645</v>
      </c>
      <c r="J13" s="25" t="n">
        <f aca="false">I13*SQRT(5*H13^2+G13^2*1^2)</f>
        <v>758.378811152741</v>
      </c>
      <c r="K13" s="22" t="n">
        <f aca="false">G13*5+J13</f>
        <v>980.712144486074</v>
      </c>
      <c r="L13" s="25" t="n">
        <f aca="false">I13*SQRT(2*H13^2+G13^2*0.5^2)</f>
        <v>478.803489243093</v>
      </c>
      <c r="M13" s="22" t="n">
        <f aca="false">G13*2+L13</f>
        <v>567.736822576427</v>
      </c>
    </row>
    <row r="14" customFormat="false" ht="12.75" hidden="false" customHeight="true" outlineLevel="0" collapsed="false">
      <c r="B14" s="19" t="n">
        <v>4200007858</v>
      </c>
      <c r="C14" s="20" t="s">
        <v>62</v>
      </c>
      <c r="D14" s="21" t="s">
        <v>57</v>
      </c>
      <c r="E14" s="22" t="n">
        <v>1067</v>
      </c>
      <c r="F14" s="22" t="n">
        <v>647</v>
      </c>
      <c r="G14" s="23" t="n">
        <f aca="false">E14/30</f>
        <v>35.5666666666667</v>
      </c>
      <c r="H14" s="23" t="n">
        <f aca="false">F14/SQRT(30)</f>
        <v>118.125498235281</v>
      </c>
      <c r="I14" s="24" t="n">
        <v>1.645</v>
      </c>
      <c r="J14" s="25" t="n">
        <f aca="false">I14*SQRT(5*H14^2+G14^2*1^2)</f>
        <v>438.426153138163</v>
      </c>
      <c r="K14" s="22" t="n">
        <f aca="false">G14*5+J14</f>
        <v>616.259486471496</v>
      </c>
      <c r="L14" s="25" t="n">
        <f aca="false">I14*SQRT(2*H14^2+G14^2*0.5^2)</f>
        <v>276.357618710806</v>
      </c>
      <c r="M14" s="22" t="n">
        <f aca="false">G14*2+L14</f>
        <v>347.490952044139</v>
      </c>
    </row>
    <row r="15" customFormat="false" ht="12.75" hidden="false" customHeight="true" outlineLevel="0" collapsed="false">
      <c r="B15" s="26" t="n">
        <v>4100000722</v>
      </c>
      <c r="C15" s="27" t="s">
        <v>63</v>
      </c>
      <c r="D15" s="28" t="s">
        <v>59</v>
      </c>
      <c r="E15" s="29" t="n">
        <v>994</v>
      </c>
      <c r="F15" s="29" t="n">
        <v>1522</v>
      </c>
      <c r="G15" s="30" t="n">
        <f aca="false">E15/30</f>
        <v>33.1333333333333</v>
      </c>
      <c r="H15" s="30" t="n">
        <f aca="false">F15/SQRT(30)</f>
        <v>277.877910840954</v>
      </c>
      <c r="I15" s="31" t="n">
        <v>1.645</v>
      </c>
      <c r="J15" s="32" t="n">
        <f aca="false">I15*SQRT(5*H15^2+G15^2*1^2)</f>
        <v>1023.57933662652</v>
      </c>
      <c r="K15" s="29" t="n">
        <f aca="false">G15*5+J15</f>
        <v>1189.24600329318</v>
      </c>
      <c r="L15" s="32" t="n">
        <f aca="false">I15*SQRT(2*H15^2+G15^2*0.5^2)</f>
        <v>647.02415333177</v>
      </c>
      <c r="M15" s="29" t="n">
        <f aca="false">G15*2+L15</f>
        <v>713.290819998437</v>
      </c>
    </row>
    <row r="16" customFormat="false" ht="12.75" hidden="false" customHeight="true" outlineLevel="0" collapsed="false">
      <c r="B16" s="19" t="n">
        <v>4200008101</v>
      </c>
      <c r="C16" s="20" t="s">
        <v>60</v>
      </c>
      <c r="D16" s="21" t="s">
        <v>57</v>
      </c>
      <c r="E16" s="22" t="n">
        <v>979</v>
      </c>
      <c r="F16" s="22" t="n">
        <v>752</v>
      </c>
      <c r="G16" s="23" t="n">
        <f aca="false">E16/30</f>
        <v>32.6333333333333</v>
      </c>
      <c r="H16" s="23" t="n">
        <f aca="false">F16/SQRT(30)</f>
        <v>137.295787747962</v>
      </c>
      <c r="I16" s="24" t="n">
        <v>1.645</v>
      </c>
      <c r="J16" s="25" t="n">
        <f aca="false">I16*SQRT(5*H16^2+G16^2*1^2)</f>
        <v>507.864548375543</v>
      </c>
      <c r="K16" s="22" t="n">
        <f aca="false">G16*5+J16</f>
        <v>671.03121504221</v>
      </c>
      <c r="L16" s="25" t="n">
        <f aca="false">I16*SQRT(2*H16^2+G16^2*0.5^2)</f>
        <v>320.528156195635</v>
      </c>
      <c r="M16" s="22" t="n">
        <f aca="false">G16*2+L16</f>
        <v>385.794822862302</v>
      </c>
    </row>
    <row r="17" customFormat="false" ht="12.75" hidden="false" customHeight="true" outlineLevel="0" collapsed="false">
      <c r="B17" s="33" t="n">
        <v>4200008229</v>
      </c>
      <c r="C17" s="34" t="s">
        <v>64</v>
      </c>
      <c r="D17" s="35" t="s">
        <v>65</v>
      </c>
      <c r="E17" s="36" t="n">
        <v>801</v>
      </c>
      <c r="F17" s="36" t="n">
        <v>388</v>
      </c>
      <c r="G17" s="37" t="n">
        <f aca="false">E17/30</f>
        <v>26.7</v>
      </c>
      <c r="H17" s="37" t="n">
        <f aca="false">F17/SQRT(30)</f>
        <v>70.8387841040015</v>
      </c>
      <c r="I17" s="38" t="n">
        <v>1.645</v>
      </c>
      <c r="J17" s="39" t="n">
        <f aca="false">I17*SQRT(5*H17^2+G17^2*1^2)</f>
        <v>264.244336607082</v>
      </c>
      <c r="K17" s="36" t="n">
        <f aca="false">G17*5+J17</f>
        <v>397.744336607082</v>
      </c>
      <c r="L17" s="39" t="n">
        <f aca="false">I17*SQRT(2*H17^2+G17^2*0.5^2)</f>
        <v>166.254813606191</v>
      </c>
      <c r="M17" s="36" t="n">
        <f aca="false">G17*2+L17</f>
        <v>219.654813606191</v>
      </c>
    </row>
    <row r="18" customFormat="false" ht="12.75" hidden="false" customHeight="true" outlineLevel="0" collapsed="false">
      <c r="B18" s="19" t="n">
        <v>4200009001</v>
      </c>
      <c r="C18" s="20" t="s">
        <v>66</v>
      </c>
      <c r="D18" s="21" t="s">
        <v>57</v>
      </c>
      <c r="E18" s="22" t="n">
        <v>763</v>
      </c>
      <c r="F18" s="22" t="n">
        <v>617</v>
      </c>
      <c r="G18" s="23" t="n">
        <f aca="false">E18/30</f>
        <v>25.4333333333333</v>
      </c>
      <c r="H18" s="23" t="n">
        <f aca="false">F18/SQRT(30)</f>
        <v>112.648272660229</v>
      </c>
      <c r="I18" s="24" t="n">
        <v>1.645</v>
      </c>
      <c r="J18" s="25" t="n">
        <f aca="false">I18*SQRT(5*H18^2+G18^2*1^2)</f>
        <v>416.464559719305</v>
      </c>
      <c r="K18" s="22" t="n">
        <f aca="false">G18*5+J18</f>
        <v>543.631226385972</v>
      </c>
      <c r="L18" s="25" t="n">
        <f aca="false">I18*SQRT(2*H18^2+G18^2*0.5^2)</f>
        <v>262.896426670607</v>
      </c>
      <c r="M18" s="22" t="n">
        <f aca="false">G18*2+L18</f>
        <v>313.763093337273</v>
      </c>
    </row>
    <row r="19" customFormat="false" ht="12.75" hidden="false" customHeight="true" outlineLevel="0" collapsed="false">
      <c r="B19" s="26" t="n">
        <v>4200009382</v>
      </c>
      <c r="C19" s="27" t="s">
        <v>67</v>
      </c>
      <c r="D19" s="28" t="s">
        <v>59</v>
      </c>
      <c r="E19" s="29" t="n">
        <v>750</v>
      </c>
      <c r="F19" s="29" t="n">
        <v>914</v>
      </c>
      <c r="G19" s="30" t="n">
        <f aca="false">E19/30</f>
        <v>25</v>
      </c>
      <c r="H19" s="30" t="n">
        <f aca="false">F19/SQRT(30)</f>
        <v>166.872805853241</v>
      </c>
      <c r="I19" s="31" t="n">
        <v>1.645</v>
      </c>
      <c r="J19" s="32" t="n">
        <f aca="false">I19*SQRT(5*H19^2+G19^2*1^2)</f>
        <v>615.189680051337</v>
      </c>
      <c r="K19" s="29" t="n">
        <f aca="false">G19*5+J19</f>
        <v>740.189680051337</v>
      </c>
      <c r="L19" s="32" t="n">
        <f aca="false">I19*SQRT(2*H19^2+G19^2*0.5^2)</f>
        <v>388.753967353282</v>
      </c>
      <c r="M19" s="29" t="n">
        <f aca="false">G19*2+L19</f>
        <v>438.753967353282</v>
      </c>
    </row>
    <row r="20" customFormat="false" ht="12.75" hidden="false" customHeight="true" outlineLevel="0" collapsed="false">
      <c r="B20" s="26" t="n">
        <v>4200007859</v>
      </c>
      <c r="C20" s="27" t="s">
        <v>68</v>
      </c>
      <c r="D20" s="28" t="s">
        <v>59</v>
      </c>
      <c r="E20" s="29" t="n">
        <v>748</v>
      </c>
      <c r="F20" s="29" t="n">
        <v>767</v>
      </c>
      <c r="G20" s="30" t="n">
        <f aca="false">E20/30</f>
        <v>24.9333333333333</v>
      </c>
      <c r="H20" s="30" t="n">
        <f aca="false">F20/SQRT(30)</f>
        <v>140.034400535487</v>
      </c>
      <c r="I20" s="31" t="n">
        <v>1.645</v>
      </c>
      <c r="J20" s="32" t="n">
        <f aca="false">I20*SQRT(5*H20^2+G20^2*1^2)</f>
        <v>516.723376452635</v>
      </c>
      <c r="K20" s="29" t="n">
        <f aca="false">G20*5+J20</f>
        <v>641.390043119301</v>
      </c>
      <c r="L20" s="32" t="n">
        <f aca="false">I20*SQRT(2*H20^2+G20^2*0.5^2)</f>
        <v>326.418260018918</v>
      </c>
      <c r="M20" s="29" t="n">
        <f aca="false">G20*2+L20</f>
        <v>376.284926685584</v>
      </c>
    </row>
    <row r="21" customFormat="false" ht="12.75" hidden="false" customHeight="true" outlineLevel="0" collapsed="false">
      <c r="B21" s="19" t="n">
        <v>4200000164</v>
      </c>
      <c r="C21" s="20" t="s">
        <v>61</v>
      </c>
      <c r="D21" s="21" t="s">
        <v>57</v>
      </c>
      <c r="E21" s="22" t="n">
        <v>668</v>
      </c>
      <c r="F21" s="22" t="n">
        <v>524</v>
      </c>
      <c r="G21" s="23" t="n">
        <f aca="false">E21/30</f>
        <v>22.2666666666667</v>
      </c>
      <c r="H21" s="23" t="n">
        <f aca="false">F21/SQRT(30)</f>
        <v>95.668873377569</v>
      </c>
      <c r="I21" s="24" t="n">
        <v>1.645</v>
      </c>
      <c r="J21" s="25" t="n">
        <f aca="false">I21*SQRT(5*H21^2+G21^2*1^2)</f>
        <v>353.803023289011</v>
      </c>
      <c r="K21" s="22" t="n">
        <f aca="false">G21*5+J21</f>
        <v>465.136356622344</v>
      </c>
      <c r="L21" s="25" t="n">
        <f aca="false">I21*SQRT(2*H21^2+G21^2*0.5^2)</f>
        <v>223.314537887955</v>
      </c>
      <c r="M21" s="22" t="n">
        <f aca="false">G21*2+L21</f>
        <v>267.847871221289</v>
      </c>
    </row>
    <row r="22" customFormat="false" ht="12.75" hidden="false" customHeight="true" outlineLevel="0" collapsed="false">
      <c r="B22" s="26" t="n">
        <v>4200008737</v>
      </c>
      <c r="C22" s="27" t="s">
        <v>69</v>
      </c>
      <c r="D22" s="28" t="s">
        <v>59</v>
      </c>
      <c r="E22" s="29" t="n">
        <v>641</v>
      </c>
      <c r="F22" s="29" t="n">
        <v>670</v>
      </c>
      <c r="G22" s="30" t="n">
        <f aca="false">E22/30</f>
        <v>21.3666666666667</v>
      </c>
      <c r="H22" s="30" t="n">
        <f aca="false">F22/SQRT(30)</f>
        <v>122.324704509487</v>
      </c>
      <c r="I22" s="31" t="n">
        <v>1.645</v>
      </c>
      <c r="J22" s="32" t="n">
        <f aca="false">I22*SQRT(5*H22^2+G22^2*1^2)</f>
        <v>451.321574973648</v>
      </c>
      <c r="K22" s="29" t="n">
        <f aca="false">G22*5+J22</f>
        <v>558.154908306982</v>
      </c>
      <c r="L22" s="32" t="n">
        <f aca="false">I22*SQRT(2*H22^2+G22^2*0.5^2)</f>
        <v>285.116040537311</v>
      </c>
      <c r="M22" s="29" t="n">
        <f aca="false">G22*2+L22</f>
        <v>327.849373870644</v>
      </c>
    </row>
    <row r="23" customFormat="false" ht="12.75" hidden="false" customHeight="true" outlineLevel="0" collapsed="false">
      <c r="B23" s="26" t="n">
        <v>4200008113</v>
      </c>
      <c r="C23" s="27" t="s">
        <v>70</v>
      </c>
      <c r="D23" s="28" t="s">
        <v>59</v>
      </c>
      <c r="E23" s="29" t="n">
        <v>625</v>
      </c>
      <c r="F23" s="29" t="n">
        <v>673</v>
      </c>
      <c r="G23" s="30" t="n">
        <f aca="false">E23/30</f>
        <v>20.8333333333333</v>
      </c>
      <c r="H23" s="30" t="n">
        <f aca="false">F23/SQRT(30)</f>
        <v>122.872427066992</v>
      </c>
      <c r="I23" s="31" t="n">
        <v>1.645</v>
      </c>
      <c r="J23" s="32" t="n">
        <f aca="false">I23*SQRT(5*H23^2+G23^2*1^2)</f>
        <v>453.263009985955</v>
      </c>
      <c r="K23" s="29" t="n">
        <f aca="false">G23*5+J23</f>
        <v>557.429676652621</v>
      </c>
      <c r="L23" s="32" t="n">
        <f aca="false">I23*SQRT(2*H23^2+G23^2*0.5^2)</f>
        <v>286.361256084001</v>
      </c>
      <c r="M23" s="29" t="n">
        <f aca="false">G23*2+L23</f>
        <v>328.027922750668</v>
      </c>
    </row>
    <row r="24" customFormat="false" ht="12.75" hidden="false" customHeight="true" outlineLevel="0" collapsed="false">
      <c r="B24" s="19" t="n">
        <v>4200008117</v>
      </c>
      <c r="C24" s="20" t="s">
        <v>71</v>
      </c>
      <c r="D24" s="21" t="s">
        <v>57</v>
      </c>
      <c r="E24" s="22" t="n">
        <v>576</v>
      </c>
      <c r="F24" s="22" t="n">
        <v>319</v>
      </c>
      <c r="G24" s="23" t="n">
        <f aca="false">E24/30</f>
        <v>19.2</v>
      </c>
      <c r="H24" s="23" t="n">
        <f aca="false">F24/SQRT(30)</f>
        <v>58.2411652813827</v>
      </c>
      <c r="I24" s="24" t="n">
        <v>1.645</v>
      </c>
      <c r="J24" s="25" t="n">
        <f aca="false">I24*SQRT(5*H24^2+G24^2*1^2)</f>
        <v>216.546032196775</v>
      </c>
      <c r="K24" s="22" t="n">
        <f aca="false">G24*5+J24</f>
        <v>312.546032196775</v>
      </c>
      <c r="L24" s="25" t="n">
        <f aca="false">I24*SQRT(2*H24^2+G24^2*0.5^2)</f>
        <v>136.408362154476</v>
      </c>
      <c r="M24" s="22" t="n">
        <f aca="false">G24*2+L24</f>
        <v>174.808362154476</v>
      </c>
    </row>
    <row r="25" customFormat="false" ht="12.75" hidden="false" customHeight="true" outlineLevel="0" collapsed="false">
      <c r="B25" s="19" t="n">
        <v>4200008122</v>
      </c>
      <c r="C25" s="20" t="s">
        <v>64</v>
      </c>
      <c r="D25" s="21" t="s">
        <v>57</v>
      </c>
      <c r="E25" s="22" t="n">
        <v>562</v>
      </c>
      <c r="F25" s="22" t="n">
        <v>425</v>
      </c>
      <c r="G25" s="23" t="n">
        <f aca="false">E25/30</f>
        <v>18.7333333333333</v>
      </c>
      <c r="H25" s="23" t="n">
        <f aca="false">F25/SQRT(30)</f>
        <v>77.5940289798985</v>
      </c>
      <c r="I25" s="24" t="n">
        <v>1.645</v>
      </c>
      <c r="J25" s="25" t="n">
        <f aca="false">I25*SQRT(5*H25^2+G25^2*1^2)</f>
        <v>287.075380352056</v>
      </c>
      <c r="K25" s="22" t="n">
        <f aca="false">G25*5+J25</f>
        <v>380.742047018723</v>
      </c>
      <c r="L25" s="25" t="n">
        <f aca="false">I25*SQRT(2*H25^2+G25^2*0.5^2)</f>
        <v>181.169706743965</v>
      </c>
      <c r="M25" s="22" t="n">
        <f aca="false">G25*2+L25</f>
        <v>218.636373410632</v>
      </c>
    </row>
    <row r="26" customFormat="false" ht="12.75" hidden="false" customHeight="true" outlineLevel="0" collapsed="false">
      <c r="B26" s="19" t="n">
        <v>4200008372</v>
      </c>
      <c r="C26" s="20" t="s">
        <v>72</v>
      </c>
      <c r="D26" s="21" t="s">
        <v>57</v>
      </c>
      <c r="E26" s="22" t="n">
        <v>529</v>
      </c>
      <c r="F26" s="22" t="n">
        <v>382</v>
      </c>
      <c r="G26" s="23" t="n">
        <f aca="false">E26/30</f>
        <v>17.6333333333333</v>
      </c>
      <c r="H26" s="23" t="n">
        <f aca="false">F26/SQRT(30)</f>
        <v>69.7433389889912</v>
      </c>
      <c r="I26" s="24" t="n">
        <v>1.645</v>
      </c>
      <c r="J26" s="25" t="n">
        <f aca="false">I26*SQRT(5*H26^2+G26^2*1^2)</f>
        <v>258.173833679353</v>
      </c>
      <c r="K26" s="22" t="n">
        <f aca="false">G26*5+J26</f>
        <v>346.34050034602</v>
      </c>
      <c r="L26" s="25" t="n">
        <f aca="false">I26*SQRT(2*H26^2+G26^2*0.5^2)</f>
        <v>162.896537414623</v>
      </c>
      <c r="M26" s="22" t="n">
        <f aca="false">G26*2+L26</f>
        <v>198.16320408129</v>
      </c>
    </row>
    <row r="27" customFormat="false" ht="12.75" hidden="false" customHeight="true" outlineLevel="0" collapsed="false">
      <c r="B27" s="19" t="n">
        <v>4200008371</v>
      </c>
      <c r="C27" s="20" t="s">
        <v>73</v>
      </c>
      <c r="D27" s="21" t="s">
        <v>57</v>
      </c>
      <c r="E27" s="22" t="n">
        <v>479</v>
      </c>
      <c r="F27" s="22" t="n">
        <v>341</v>
      </c>
      <c r="G27" s="23" t="n">
        <f aca="false">E27/30</f>
        <v>15.9666666666667</v>
      </c>
      <c r="H27" s="23" t="n">
        <f aca="false">F27/SQRT(30)</f>
        <v>62.2577973697539</v>
      </c>
      <c r="I27" s="24" t="n">
        <v>1.645</v>
      </c>
      <c r="J27" s="25" t="n">
        <f aca="false">I27*SQRT(5*H27^2+G27^2*1^2)</f>
        <v>230.506126782336</v>
      </c>
      <c r="K27" s="22" t="n">
        <f aca="false">G27*5+J27</f>
        <v>310.33946011567</v>
      </c>
      <c r="L27" s="25" t="n">
        <f aca="false">I27*SQRT(2*H27^2+G27^2*0.5^2)</f>
        <v>145.429539456995</v>
      </c>
      <c r="M27" s="22" t="n">
        <f aca="false">G27*2+L27</f>
        <v>177.362872790328</v>
      </c>
    </row>
    <row r="28" customFormat="false" ht="12.75" hidden="false" customHeight="true" outlineLevel="0" collapsed="false">
      <c r="B28" s="26" t="n">
        <v>4100000738</v>
      </c>
      <c r="C28" s="27" t="s">
        <v>74</v>
      </c>
      <c r="D28" s="28" t="s">
        <v>59</v>
      </c>
      <c r="E28" s="29" t="n">
        <v>446</v>
      </c>
      <c r="F28" s="29" t="n">
        <v>468</v>
      </c>
      <c r="G28" s="30" t="n">
        <f aca="false">E28/30</f>
        <v>14.8666666666667</v>
      </c>
      <c r="H28" s="30" t="n">
        <f aca="false">F28/SQRT(30)</f>
        <v>85.4447189708059</v>
      </c>
      <c r="I28" s="31" t="n">
        <v>1.645</v>
      </c>
      <c r="J28" s="32" t="n">
        <f aca="false">I28*SQRT(5*H28^2+G28^2*1^2)</f>
        <v>315.244058202706</v>
      </c>
      <c r="K28" s="29" t="n">
        <f aca="false">G28*5+J28</f>
        <v>389.577391536039</v>
      </c>
      <c r="L28" s="32" t="n">
        <f aca="false">I28*SQRT(2*H28^2+G28^2*0.5^2)</f>
        <v>199.15274175373</v>
      </c>
      <c r="M28" s="29" t="n">
        <f aca="false">G28*2+L28</f>
        <v>228.886075087063</v>
      </c>
    </row>
    <row r="29" customFormat="false" ht="12.75" hidden="false" customHeight="true" outlineLevel="0" collapsed="false">
      <c r="B29" s="19" t="n">
        <v>4200009002</v>
      </c>
      <c r="C29" s="20" t="s">
        <v>75</v>
      </c>
      <c r="D29" s="21" t="s">
        <v>57</v>
      </c>
      <c r="E29" s="22" t="n">
        <v>428</v>
      </c>
      <c r="F29" s="22" t="n">
        <v>389</v>
      </c>
      <c r="G29" s="23" t="n">
        <f aca="false">E29/30</f>
        <v>14.2666666666667</v>
      </c>
      <c r="H29" s="23" t="n">
        <f aca="false">F29/SQRT(30)</f>
        <v>71.0213582898365</v>
      </c>
      <c r="I29" s="24" t="n">
        <v>1.645</v>
      </c>
      <c r="J29" s="25" t="n">
        <f aca="false">I29*SQRT(5*H29^2+G29^2*1^2)</f>
        <v>262.292164997885</v>
      </c>
      <c r="K29" s="22" t="n">
        <f aca="false">G29*5+J29</f>
        <v>333.625498331219</v>
      </c>
      <c r="L29" s="25" t="n">
        <f aca="false">I29*SQRT(2*H29^2+G29^2*0.5^2)</f>
        <v>165.638930147609</v>
      </c>
      <c r="M29" s="22" t="n">
        <f aca="false">G29*2+L29</f>
        <v>194.172263480942</v>
      </c>
    </row>
    <row r="30" customFormat="false" ht="12.75" hidden="false" customHeight="true" outlineLevel="0" collapsed="false">
      <c r="B30" s="19" t="n">
        <v>4200009023</v>
      </c>
      <c r="C30" s="20" t="s">
        <v>76</v>
      </c>
      <c r="D30" s="21" t="s">
        <v>57</v>
      </c>
      <c r="E30" s="22" t="n">
        <v>420</v>
      </c>
      <c r="F30" s="22" t="n">
        <v>407</v>
      </c>
      <c r="G30" s="23" t="n">
        <f aca="false">E30/30</f>
        <v>14</v>
      </c>
      <c r="H30" s="23" t="n">
        <f aca="false">F30/SQRT(30)</f>
        <v>74.3076936348675</v>
      </c>
      <c r="I30" s="24" t="n">
        <v>1.645</v>
      </c>
      <c r="J30" s="25" t="n">
        <f aca="false">I30*SQRT(5*H30^2+G30^2*1^2)</f>
        <v>274.296864918589</v>
      </c>
      <c r="K30" s="22" t="n">
        <f aca="false">G30*5+J30</f>
        <v>344.296864918589</v>
      </c>
      <c r="L30" s="25" t="n">
        <f aca="false">I30*SQRT(2*H30^2+G30^2*0.5^2)</f>
        <v>173.251120939135</v>
      </c>
      <c r="M30" s="22" t="n">
        <f aca="false">G30*2+L30</f>
        <v>201.251120939135</v>
      </c>
    </row>
    <row r="31" customFormat="false" ht="12.75" hidden="false" customHeight="true" outlineLevel="0" collapsed="false">
      <c r="B31" s="19" t="n">
        <v>4200008366</v>
      </c>
      <c r="C31" s="20" t="s">
        <v>77</v>
      </c>
      <c r="D31" s="21" t="s">
        <v>57</v>
      </c>
      <c r="E31" s="22" t="n">
        <v>405</v>
      </c>
      <c r="F31" s="22" t="n">
        <v>350</v>
      </c>
      <c r="G31" s="23" t="n">
        <f aca="false">E31/30</f>
        <v>13.5</v>
      </c>
      <c r="H31" s="23" t="n">
        <f aca="false">F31/SQRT(30)</f>
        <v>63.9009650422694</v>
      </c>
      <c r="I31" s="24" t="n">
        <v>1.645</v>
      </c>
      <c r="J31" s="25" t="n">
        <f aca="false">I31*SQRT(5*H31^2+G31^2*1^2)</f>
        <v>236.095708289915</v>
      </c>
      <c r="K31" s="22" t="n">
        <f aca="false">G31*5+J31</f>
        <v>303.595708289915</v>
      </c>
      <c r="L31" s="25" t="n">
        <f aca="false">I31*SQRT(2*H31^2+G31^2*0.5^2)</f>
        <v>149.072121574522</v>
      </c>
      <c r="M31" s="22" t="n">
        <f aca="false">G31*2+L31</f>
        <v>176.072121574522</v>
      </c>
    </row>
    <row r="32" customFormat="false" ht="12.75" hidden="false" customHeight="true" outlineLevel="0" collapsed="false">
      <c r="B32" s="26" t="n">
        <v>4100000838</v>
      </c>
      <c r="C32" s="27" t="s">
        <v>78</v>
      </c>
      <c r="D32" s="28" t="s">
        <v>59</v>
      </c>
      <c r="E32" s="29" t="n">
        <v>393</v>
      </c>
      <c r="F32" s="29" t="n">
        <v>1039</v>
      </c>
      <c r="G32" s="30" t="n">
        <f aca="false">E32/30</f>
        <v>13.1</v>
      </c>
      <c r="H32" s="30" t="n">
        <f aca="false">F32/SQRT(30)</f>
        <v>189.694579082623</v>
      </c>
      <c r="I32" s="31" t="n">
        <v>1.645</v>
      </c>
      <c r="J32" s="32" t="n">
        <f aca="false">I32*SQRT(5*H32^2+G32^2*1^2)</f>
        <v>698.092293292525</v>
      </c>
      <c r="K32" s="29" t="n">
        <f aca="false">G32*5+J32</f>
        <v>763.592293292525</v>
      </c>
      <c r="L32" s="32" t="n">
        <f aca="false">I32*SQRT(2*H32^2+G32^2*0.5^2)</f>
        <v>441.433441006942</v>
      </c>
      <c r="M32" s="29" t="n">
        <f aca="false">G32*2+L32</f>
        <v>467.633441006942</v>
      </c>
    </row>
    <row r="33" customFormat="false" ht="12.75" hidden="false" customHeight="true" outlineLevel="0" collapsed="false">
      <c r="B33" s="26" t="n">
        <v>4200009226</v>
      </c>
      <c r="C33" s="27" t="s">
        <v>79</v>
      </c>
      <c r="D33" s="28" t="s">
        <v>59</v>
      </c>
      <c r="E33" s="29" t="n">
        <v>384</v>
      </c>
      <c r="F33" s="29" t="n">
        <v>627</v>
      </c>
      <c r="G33" s="30" t="n">
        <f aca="false">E33/30</f>
        <v>12.8</v>
      </c>
      <c r="H33" s="30" t="n">
        <f aca="false">F33/SQRT(30)</f>
        <v>114.47401451858</v>
      </c>
      <c r="I33" s="31" t="n">
        <v>1.645</v>
      </c>
      <c r="J33" s="32" t="n">
        <f aca="false">I33*SQRT(5*H33^2+G33^2*1^2)</f>
        <v>421.59954005371</v>
      </c>
      <c r="K33" s="29" t="n">
        <f aca="false">G33*5+J33</f>
        <v>485.59954005371</v>
      </c>
      <c r="L33" s="32" t="n">
        <f aca="false">I33*SQRT(2*H33^2+G33^2*0.5^2)</f>
        <v>266.518227517369</v>
      </c>
      <c r="M33" s="29" t="n">
        <f aca="false">G33*2+L33</f>
        <v>292.118227517369</v>
      </c>
    </row>
    <row r="34" customFormat="false" ht="12.75" hidden="false" customHeight="true" outlineLevel="0" collapsed="false">
      <c r="B34" s="19" t="n">
        <v>4200009625</v>
      </c>
      <c r="C34" s="20" t="s">
        <v>80</v>
      </c>
      <c r="D34" s="21" t="s">
        <v>57</v>
      </c>
      <c r="E34" s="22" t="n">
        <v>369</v>
      </c>
      <c r="F34" s="22" t="n">
        <v>307</v>
      </c>
      <c r="G34" s="23" t="n">
        <f aca="false">E34/30</f>
        <v>12.3</v>
      </c>
      <c r="H34" s="23" t="n">
        <f aca="false">F34/SQRT(30)</f>
        <v>56.050275051362</v>
      </c>
      <c r="I34" s="24" t="n">
        <v>1.645</v>
      </c>
      <c r="J34" s="25" t="n">
        <f aca="false">I34*SQRT(5*H34^2+G34^2*1^2)</f>
        <v>207.161980649</v>
      </c>
      <c r="K34" s="22" t="n">
        <f aca="false">G34*5+J34</f>
        <v>268.661980649</v>
      </c>
      <c r="L34" s="25" t="n">
        <f aca="false">I34*SQRT(2*H34^2+G34^2*0.5^2)</f>
        <v>130.786181656279</v>
      </c>
      <c r="M34" s="22" t="n">
        <f aca="false">G34*2+L34</f>
        <v>155.386181656279</v>
      </c>
    </row>
    <row r="35" customFormat="false" ht="12.75" hidden="false" customHeight="true" outlineLevel="0" collapsed="false">
      <c r="B35" s="26" t="n">
        <v>4200008736</v>
      </c>
      <c r="C35" s="27" t="s">
        <v>81</v>
      </c>
      <c r="D35" s="28" t="s">
        <v>59</v>
      </c>
      <c r="E35" s="29" t="n">
        <v>363</v>
      </c>
      <c r="F35" s="29" t="n">
        <v>420</v>
      </c>
      <c r="G35" s="30" t="n">
        <f aca="false">E35/30</f>
        <v>12.1</v>
      </c>
      <c r="H35" s="30" t="n">
        <f aca="false">F35/SQRT(30)</f>
        <v>76.6811580507233</v>
      </c>
      <c r="I35" s="31" t="n">
        <v>1.645</v>
      </c>
      <c r="J35" s="32" t="n">
        <f aca="false">I35*SQRT(5*H35^2+G35^2*1^2)</f>
        <v>282.760188357997</v>
      </c>
      <c r="K35" s="29" t="n">
        <f aca="false">G35*5+J35</f>
        <v>343.260188357997</v>
      </c>
      <c r="L35" s="32" t="n">
        <f aca="false">I35*SQRT(2*H35^2+G35^2*0.5^2)</f>
        <v>178.667012288398</v>
      </c>
      <c r="M35" s="29" t="n">
        <f aca="false">G35*2+L35</f>
        <v>202.867012288398</v>
      </c>
    </row>
    <row r="36" customFormat="false" ht="12.75" hidden="false" customHeight="true" outlineLevel="0" collapsed="false">
      <c r="B36" s="26" t="n">
        <v>1830009179</v>
      </c>
      <c r="C36" s="27" t="s">
        <v>82</v>
      </c>
      <c r="D36" s="28" t="s">
        <v>59</v>
      </c>
      <c r="E36" s="29" t="n">
        <v>361</v>
      </c>
      <c r="F36" s="29" t="n">
        <v>954</v>
      </c>
      <c r="G36" s="30" t="n">
        <f aca="false">E36/30</f>
        <v>12.0333333333333</v>
      </c>
      <c r="H36" s="30" t="n">
        <f aca="false">F36/SQRT(30)</f>
        <v>174.175773286643</v>
      </c>
      <c r="I36" s="31" t="n">
        <v>1.645</v>
      </c>
      <c r="J36" s="32" t="n">
        <f aca="false">I36*SQRT(5*H36^2+G36^2*1^2)</f>
        <v>640.982015018124</v>
      </c>
      <c r="K36" s="29" t="n">
        <f aca="false">G36*5+J36</f>
        <v>701.148681684791</v>
      </c>
      <c r="L36" s="32" t="n">
        <f aca="false">I36*SQRT(2*H36^2+G36^2*0.5^2)</f>
        <v>405.320123009793</v>
      </c>
      <c r="M36" s="29" t="n">
        <f aca="false">G36*2+L36</f>
        <v>429.38678967646</v>
      </c>
    </row>
    <row r="37" customFormat="false" ht="18" hidden="false" customHeight="true" outlineLevel="0" collapsed="false">
      <c r="B37" s="40" t="s">
        <v>83</v>
      </c>
      <c r="C37" s="40"/>
      <c r="D37" s="40"/>
      <c r="E37" s="40"/>
      <c r="F37" s="40"/>
      <c r="G37" s="40"/>
      <c r="H37" s="40"/>
      <c r="I37" s="40"/>
      <c r="J37" s="41" t="n">
        <f aca="false">SUM(J9:J36)</f>
        <v>19580.0071668642</v>
      </c>
      <c r="L37" s="41" t="n">
        <f aca="false">SUM(L9:L36)</f>
        <v>12367.6378127652</v>
      </c>
    </row>
    <row r="39" customFormat="false" ht="19.5" hidden="false" customHeight="true" outlineLevel="0" collapsed="false">
      <c r="B39" s="42" t="s">
        <v>84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</row>
  </sheetData>
  <mergeCells count="7">
    <mergeCell ref="B1:O1"/>
    <mergeCell ref="B3:O3"/>
    <mergeCell ref="B4:O4"/>
    <mergeCell ref="B5:O5"/>
    <mergeCell ref="B6:O6"/>
    <mergeCell ref="B37:I37"/>
    <mergeCell ref="B39:M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8" min="7" style="0" width="3"/>
  </cols>
  <sheetData>
    <row r="1" customFormat="false" ht="27.75" hidden="false" customHeight="true" outlineLevel="0" collapsed="false">
      <c r="B1" s="1" t="s">
        <v>85</v>
      </c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B2" s="3" t="s">
        <v>86</v>
      </c>
      <c r="C2" s="3"/>
      <c r="D2" s="3"/>
      <c r="E2" s="3"/>
      <c r="F2" s="3"/>
      <c r="G2" s="3"/>
      <c r="H2" s="3"/>
    </row>
    <row r="4" customFormat="false" ht="126.85" hidden="false" customHeight="false" outlineLevel="0" collapsed="false">
      <c r="B4" s="4" t="s">
        <v>87</v>
      </c>
      <c r="C4" s="4" t="s">
        <v>88</v>
      </c>
      <c r="D4" s="4" t="s">
        <v>89</v>
      </c>
      <c r="E4" s="4" t="s">
        <v>90</v>
      </c>
    </row>
    <row r="5" customFormat="false" ht="18" hidden="false" customHeight="true" outlineLevel="0" collapsed="false">
      <c r="B5" s="43" t="n">
        <v>2</v>
      </c>
      <c r="C5" s="25" t="n">
        <v>12340</v>
      </c>
      <c r="D5" s="44" t="n">
        <v>0</v>
      </c>
      <c r="E5" s="45" t="s">
        <v>91</v>
      </c>
    </row>
    <row r="6" customFormat="false" ht="18" hidden="false" customHeight="true" outlineLevel="0" collapsed="false">
      <c r="B6" s="17" t="n">
        <v>3</v>
      </c>
      <c r="C6" s="46" t="n">
        <v>15114</v>
      </c>
      <c r="D6" s="47" t="n">
        <v>2773</v>
      </c>
      <c r="E6" s="48"/>
    </row>
    <row r="7" customFormat="false" ht="18" hidden="false" customHeight="true" outlineLevel="0" collapsed="false">
      <c r="B7" s="17" t="n">
        <v>4</v>
      </c>
      <c r="C7" s="46" t="n">
        <v>17452</v>
      </c>
      <c r="D7" s="47" t="n">
        <v>5111</v>
      </c>
      <c r="E7" s="48"/>
    </row>
    <row r="8" customFormat="false" ht="18" hidden="false" customHeight="true" outlineLevel="0" collapsed="false">
      <c r="B8" s="43" t="n">
        <v>5</v>
      </c>
      <c r="C8" s="25" t="n">
        <v>19512</v>
      </c>
      <c r="D8" s="44" t="n">
        <v>7171</v>
      </c>
      <c r="E8" s="45" t="s">
        <v>92</v>
      </c>
    </row>
    <row r="9" customFormat="false" ht="18" hidden="false" customHeight="true" outlineLevel="0" collapsed="false">
      <c r="B9" s="17" t="n">
        <v>6</v>
      </c>
      <c r="C9" s="46" t="n">
        <v>21374</v>
      </c>
      <c r="D9" s="47" t="n">
        <v>9034</v>
      </c>
      <c r="E9" s="48"/>
    </row>
    <row r="10" customFormat="false" ht="18" hidden="false" customHeight="true" outlineLevel="0" collapsed="false">
      <c r="B10" s="17" t="n">
        <v>7</v>
      </c>
      <c r="C10" s="46" t="n">
        <v>23086</v>
      </c>
      <c r="D10" s="47" t="n">
        <v>10746</v>
      </c>
      <c r="E10" s="48" t="s">
        <v>93</v>
      </c>
    </row>
  </sheetData>
  <mergeCells count="2">
    <mergeCell ref="B1:H1"/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2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12" min="7" style="0" width="9"/>
  </cols>
  <sheetData>
    <row r="1" customFormat="false" ht="27.75" hidden="false" customHeight="true" outlineLevel="0" collapsed="false">
      <c r="B1" s="1" t="s">
        <v>94</v>
      </c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21.75" hidden="false" customHeight="true" outlineLevel="0" collapsed="false">
      <c r="B3" s="2" t="s">
        <v>95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5.5" hidden="false" customHeight="true" outlineLevel="0" collapsed="false">
      <c r="B4" s="3" t="s">
        <v>96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25.5" hidden="false" customHeight="true" outlineLevel="0" collapsed="false">
      <c r="B5" s="3" t="s">
        <v>97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24" hidden="false" customHeight="true" outlineLevel="0" collapsed="false">
      <c r="B6" s="3" t="s">
        <v>98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customFormat="false" ht="21.75" hidden="false" customHeight="true" outlineLevel="0" collapsed="false">
      <c r="B8" s="2" t="s">
        <v>99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85.05" hidden="false" customHeight="false" outlineLevel="0" collapsed="false">
      <c r="B9" s="4" t="s">
        <v>100</v>
      </c>
      <c r="C9" s="4" t="s">
        <v>101</v>
      </c>
      <c r="D9" s="4" t="s">
        <v>102</v>
      </c>
      <c r="E9" s="4" t="s">
        <v>103</v>
      </c>
    </row>
    <row r="10" customFormat="false" ht="15" hidden="false" customHeight="false" outlineLevel="0" collapsed="false">
      <c r="B10" s="49" t="s">
        <v>104</v>
      </c>
      <c r="C10" s="50" t="s">
        <v>105</v>
      </c>
      <c r="D10" s="32" t="n">
        <v>31852</v>
      </c>
      <c r="E10" s="51" t="s">
        <v>106</v>
      </c>
    </row>
    <row r="11" customFormat="false" ht="15" hidden="false" customHeight="false" outlineLevel="0" collapsed="false">
      <c r="B11" s="52" t="s">
        <v>107</v>
      </c>
      <c r="C11" s="53" t="s">
        <v>108</v>
      </c>
      <c r="D11" s="54" t="n">
        <v>16325</v>
      </c>
      <c r="E11" s="55" t="n">
        <f aca="false">D11/D10</f>
        <v>0.512526685922391</v>
      </c>
    </row>
    <row r="12" customFormat="false" ht="15" hidden="false" customHeight="false" outlineLevel="0" collapsed="false">
      <c r="B12" s="11" t="s">
        <v>109</v>
      </c>
      <c r="D12" s="41" t="n">
        <f aca="false">D10-D11</f>
        <v>15527</v>
      </c>
      <c r="E12" s="56" t="n">
        <f aca="false">1-D11/D10</f>
        <v>0.487473314077609</v>
      </c>
    </row>
    <row r="14" customFormat="false" ht="21.75" hidden="false" customHeight="true" outlineLevel="0" collapsed="false">
      <c r="B14" s="2" t="s">
        <v>110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30" hidden="false" customHeight="true" outlineLevel="0" collapsed="false">
      <c r="B15" s="57" t="s">
        <v>111</v>
      </c>
      <c r="C15" s="57"/>
      <c r="D15" s="57"/>
      <c r="E15" s="58" t="s">
        <v>112</v>
      </c>
      <c r="F15" s="58"/>
      <c r="G15" s="58"/>
      <c r="H15" s="58"/>
      <c r="I15" s="58"/>
      <c r="J15" s="58"/>
      <c r="K15" s="58"/>
      <c r="L15" s="58"/>
    </row>
    <row r="16" customFormat="false" ht="30" hidden="false" customHeight="true" outlineLevel="0" collapsed="false">
      <c r="B16" s="57" t="s">
        <v>113</v>
      </c>
      <c r="C16" s="57"/>
      <c r="D16" s="57"/>
      <c r="E16" s="58" t="s">
        <v>114</v>
      </c>
      <c r="F16" s="58"/>
      <c r="G16" s="58"/>
      <c r="H16" s="58"/>
      <c r="I16" s="58"/>
      <c r="J16" s="58"/>
      <c r="K16" s="58"/>
      <c r="L16" s="58"/>
    </row>
    <row r="17" customFormat="false" ht="30" hidden="false" customHeight="true" outlineLevel="0" collapsed="false">
      <c r="B17" s="59" t="s">
        <v>115</v>
      </c>
      <c r="C17" s="59"/>
      <c r="D17" s="59"/>
      <c r="E17" s="58" t="s">
        <v>116</v>
      </c>
      <c r="F17" s="58"/>
      <c r="G17" s="58"/>
      <c r="H17" s="58"/>
      <c r="I17" s="58"/>
      <c r="J17" s="58"/>
      <c r="K17" s="58"/>
      <c r="L17" s="58"/>
    </row>
    <row r="18" customFormat="false" ht="30" hidden="false" customHeight="true" outlineLevel="0" collapsed="false">
      <c r="B18" s="60" t="s">
        <v>117</v>
      </c>
      <c r="C18" s="60"/>
      <c r="D18" s="60"/>
      <c r="E18" s="58" t="s">
        <v>118</v>
      </c>
      <c r="F18" s="58"/>
      <c r="G18" s="58"/>
      <c r="H18" s="58"/>
      <c r="I18" s="58"/>
      <c r="J18" s="58"/>
      <c r="K18" s="58"/>
      <c r="L18" s="58"/>
    </row>
    <row r="19" customFormat="false" ht="30" hidden="false" customHeight="true" outlineLevel="0" collapsed="false">
      <c r="B19" s="60" t="s">
        <v>119</v>
      </c>
      <c r="C19" s="60"/>
      <c r="D19" s="60"/>
      <c r="E19" s="58" t="s">
        <v>120</v>
      </c>
      <c r="F19" s="58"/>
      <c r="G19" s="58"/>
      <c r="H19" s="58"/>
      <c r="I19" s="58"/>
      <c r="J19" s="58"/>
      <c r="K19" s="58"/>
      <c r="L19" s="58"/>
    </row>
    <row r="20" customFormat="false" ht="30" hidden="false" customHeight="true" outlineLevel="0" collapsed="false">
      <c r="B20" s="57" t="s">
        <v>121</v>
      </c>
      <c r="C20" s="57"/>
      <c r="D20" s="57"/>
      <c r="E20" s="58" t="s">
        <v>122</v>
      </c>
      <c r="F20" s="58"/>
      <c r="G20" s="58"/>
      <c r="H20" s="58"/>
      <c r="I20" s="58"/>
      <c r="J20" s="58"/>
      <c r="K20" s="58"/>
      <c r="L20" s="58"/>
    </row>
  </sheetData>
  <mergeCells count="19">
    <mergeCell ref="B1:L1"/>
    <mergeCell ref="B3:L3"/>
    <mergeCell ref="B4:L4"/>
    <mergeCell ref="B5:L5"/>
    <mergeCell ref="B6:L6"/>
    <mergeCell ref="B8:L8"/>
    <mergeCell ref="B14:L14"/>
    <mergeCell ref="B15:D15"/>
    <mergeCell ref="E15:L15"/>
    <mergeCell ref="B16:D16"/>
    <mergeCell ref="E16:L16"/>
    <mergeCell ref="B17:D17"/>
    <mergeCell ref="E17:L17"/>
    <mergeCell ref="B18:D18"/>
    <mergeCell ref="E18:L18"/>
    <mergeCell ref="B19:D19"/>
    <mergeCell ref="E19:L19"/>
    <mergeCell ref="B20:D20"/>
    <mergeCell ref="E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2026-06-07T14:13:19Z</dcterms:created>
  <dc:creator>openpyxl</dc:creator>
  <dc:description/>
  <dc:language>en-US</dc:language>
  <cp:lastModifiedBy/>
  <dcterms:modified xsi:type="dcterms:W3CDTF">2026-06-07T14:13:22Z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