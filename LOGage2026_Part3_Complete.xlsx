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3.1 Slotting Design" sheetId="1" state="visible" r:id="rId3"/>
    <sheet name="Q3.1 Travel Proof" sheetId="2" state="visible" r:id="rId4"/>
    <sheet name="Q3.1 Slot Assignment" sheetId="3" state="visible" r:id="rId5"/>
    <sheet name="Q3.1 Heatmap (U-shape)" sheetId="4" state="visible" r:id="rId6"/>
    <sheet name="Q3.2 Pick &amp; Pa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<sst xmlns="http://schemas.openxmlformats.org/spreadsheetml/2006/main" count="2470" uniqueCount="1431">
  <si>
    <t xml:space="preserve">Q3.1 - SLOTTING DESIGN (ABC velocity-based)</t>
  </si>
  <si>
    <t xml:space="preserve">Velocity decides the storage zone. Inputs per prompt: velocity, pick rate, size. U-shaped warehouse: receiving and packing on the same front side, creating a golden pick-face next to packing.</t>
  </si>
  <si>
    <t xml:space="preserve">A.  MODEL ASSUMPTIONS (blue = editable input)</t>
  </si>
  <si>
    <t xml:space="preserve">Walk speed (m/min)</t>
  </si>
  <si>
    <t xml:space="preserve">1.2 m/s standard</t>
  </si>
  <si>
    <t xml:space="preserve">Round-trip factor</t>
  </si>
  <si>
    <t xml:space="preserve">pick location to packing and back</t>
  </si>
  <si>
    <t xml:space="preserve">Dist: A Pick-face to packing (m)</t>
  </si>
  <si>
    <t xml:space="preserve">golden zone, nearest</t>
  </si>
  <si>
    <t xml:space="preserve">Dist: B Intermediate to packing (m)</t>
  </si>
  <si>
    <t xml:space="preserve">mid bay</t>
  </si>
  <si>
    <t xml:space="preserve">Dist: C Reserve to packing (m)</t>
  </si>
  <si>
    <t xml:space="preserve">back / upper rack</t>
  </si>
  <si>
    <t xml:space="preserve">Pick rate A (pcs/min)</t>
  </si>
  <si>
    <t xml:space="preserve">fast pick-face</t>
  </si>
  <si>
    <t xml:space="preserve">Pick rate B (pcs/min)</t>
  </si>
  <si>
    <t xml:space="preserve">carton-centric</t>
  </si>
  <si>
    <t xml:space="preserve">Pick rate C (pcs/min)</t>
  </si>
  <si>
    <t xml:space="preserve">slow reserve</t>
  </si>
  <si>
    <t xml:space="preserve">B.  ZONE DESIGN — VELOCITY chooses the zone</t>
  </si>
  <si>
    <t xml:space="preserve">Zone</t>
  </si>
  <si>
    <t xml:space="preserve">Class</t>
  </si>
  <si>
    <t xml:space="preserve"># SKU</t>
  </si>
  <si>
    <t xml:space="preserve">Total picks (order freq)</t>
  </si>
  <si>
    <t xml:space="preserve">Pick mode</t>
  </si>
  <si>
    <t xml:space="preserve">Slot rule</t>
  </si>
  <si>
    <t xml:space="preserve">Dist to packing (m)</t>
  </si>
  <si>
    <t xml:space="preserve">A - Pick-face</t>
  </si>
  <si>
    <t xml:space="preserve">Class A / Fast</t>
  </si>
  <si>
    <t xml:space="preserve">Loose + carton break-bulk</t>
  </si>
  <si>
    <t xml:space="preserve">Highest order frequency -&gt; nearest slots, golden zone next to packing.</t>
  </si>
  <si>
    <t xml:space="preserve">B - Intermediate</t>
  </si>
  <si>
    <t xml:space="preserve">Class B</t>
  </si>
  <si>
    <t xml:space="preserve">Carton picking + replenish A</t>
  </si>
  <si>
    <t xml:space="preserve">Medium velocity -&gt; mid bay; min/max feeds the A pick-face.</t>
  </si>
  <si>
    <t xml:space="preserve">C - Reserve</t>
  </si>
  <si>
    <t xml:space="preserve">Class C / Slow</t>
  </si>
  <si>
    <t xml:space="preserve">Pallet store, pick on demand</t>
  </si>
  <si>
    <t xml:space="preserve">Low velocity per SKU -&gt; far / upper rack, bulk. Rarely picked so distance is acceptable.</t>
  </si>
  <si>
    <t xml:space="preserve">Note: zone is determined by VELOCITY (pick frequency) only. Within a zone, slot order follows velocity then size (cube). No shelf-height / weight-band rule is applied.</t>
  </si>
  <si>
    <t xml:space="preserve">Q3.1 - TRAVEL-TIME PROOF (&gt;= 30% reduction)</t>
  </si>
  <si>
    <t xml:space="preserve">Image formula: Total distance traveled = SUM_i SUM_j ( Tij * Dij ). Flow = packing(P) &lt;-&gt; each zone, so Tij=picks_j, Dij=zone dist. Avg distance/pick = Total dist / total picks.</t>
  </si>
  <si>
    <t xml:space="preserve">A.  TOTAL DISTANCE BY ZONE  (Tij x Dij x round-trip)</t>
  </si>
  <si>
    <t xml:space="preserve">Zone (j)</t>
  </si>
  <si>
    <t xml:space="preserve">Picks Tij (velocity)</t>
  </si>
  <si>
    <t xml:space="preserve">Dist Dij (m)</t>
  </si>
  <si>
    <t xml:space="preserve">Round-trip distance = Tij*Dij*2 (m)</t>
  </si>
  <si>
    <t xml:space="preserve">Zone A</t>
  </si>
  <si>
    <t xml:space="preserve">Zone B</t>
  </si>
  <si>
    <t xml:space="preserve">Zone C</t>
  </si>
  <si>
    <t xml:space="preserve">TOTAL</t>
  </si>
  <si>
    <t xml:space="preserve">B.  RESULTS</t>
  </si>
  <si>
    <t xml:space="preserve">Total picks</t>
  </si>
  <si>
    <t xml:space="preserve">OPTIMIZED total round-trip distance (m)</t>
  </si>
  <si>
    <t xml:space="preserve">OPTIMIZED avg distance per pick (one-way, m)</t>
  </si>
  <si>
    <t xml:space="preserve">OPTIMIZED travel time (min)</t>
  </si>
  <si>
    <t xml:space="preserve">BASELINE random avg distance (one-way, m)</t>
  </si>
  <si>
    <t xml:space="preserve">BASELINE total round-trip distance (m)</t>
  </si>
  <si>
    <t xml:space="preserve">BASELINE travel time (min)</t>
  </si>
  <si>
    <t xml:space="preserve">TRAVEL-TIME REDUCTION</t>
  </si>
  <si>
    <t xml:space="preserve">Target</t>
  </si>
  <si>
    <t xml:space="preserve">Derivation: the image formula gives TOTAL distance. Dividing by total picks yields the AVERAGE distance per pick. Baseline uses the SKU-count-weighted mean distance (random placement = every pick travels the warehouse average, 43.3 m). Optimized concentrates the high-frequency Zone-A picks at 8 m, cutting the average to 28.0 m.</t>
  </si>
  <si>
    <t xml:space="preserve">Q3.1 - SLOT ASSIGNMENT (all 470 SKUs)</t>
  </si>
  <si>
    <t xml:space="preserve">velocity = order frequency / pick rate (picking-time load, min). Sorted by velocity within zone. pick rate (pcs/min) and size (unit cube, L/pcs) shown as required inputs.</t>
  </si>
  <si>
    <t xml:space="preserve">Slot ID</t>
  </si>
  <si>
    <t xml:space="preserve">SKU</t>
  </si>
  <si>
    <t xml:space="preserve">Product</t>
  </si>
  <si>
    <t xml:space="preserve">Cat</t>
  </si>
  <si>
    <t xml:space="preserve">Order freq</t>
  </si>
  <si>
    <t xml:space="preserve">Pick rate (pcs/min)</t>
  </si>
  <si>
    <t xml:space="preserve">Velocity (freq/rate)</t>
  </si>
  <si>
    <t xml:space="preserve">Size (L/pcs)</t>
  </si>
  <si>
    <t xml:space="preserve">Avg order qty</t>
  </si>
  <si>
    <t xml:space="preserve">Dist (m)</t>
  </si>
  <si>
    <t xml:space="preserve">A-001</t>
  </si>
  <si>
    <t xml:space="preserve">4200008229</t>
  </si>
  <si>
    <t xml:space="preserve">Quạt treo ASIAvina - VY377990 - </t>
  </si>
  <si>
    <t xml:space="preserve">Fan</t>
  </si>
  <si>
    <t xml:space="preserve">A</t>
  </si>
  <si>
    <t xml:space="preserve">A-002</t>
  </si>
  <si>
    <t xml:space="preserve">4200008371</t>
  </si>
  <si>
    <t xml:space="preserve">QUẠT ĐỨNG VY619990</t>
  </si>
  <si>
    <t xml:space="preserve">A-003</t>
  </si>
  <si>
    <t xml:space="preserve">4200008366</t>
  </si>
  <si>
    <t xml:space="preserve">QUẠT SÀN TURB0 VY616790</t>
  </si>
  <si>
    <t xml:space="preserve">A-004</t>
  </si>
  <si>
    <t xml:space="preserve">4200008117</t>
  </si>
  <si>
    <t xml:space="preserve">Quạt treo ASIAvina - VY357690 - </t>
  </si>
  <si>
    <t xml:space="preserve">A-005</t>
  </si>
  <si>
    <t xml:space="preserve">4200008102</t>
  </si>
  <si>
    <t xml:space="preserve">Quạt lửng ASIAvina - VY538790 - </t>
  </si>
  <si>
    <t xml:space="preserve">A-006</t>
  </si>
  <si>
    <t xml:space="preserve">4200009163</t>
  </si>
  <si>
    <t xml:space="preserve">Quạt lửng ASIAVINA - VY628890 - </t>
  </si>
  <si>
    <t xml:space="preserve">A-007</t>
  </si>
  <si>
    <t xml:space="preserve">4200007858</t>
  </si>
  <si>
    <t xml:space="preserve">Quạt sàn ASIAvina - VY636790 - X</t>
  </si>
  <si>
    <t xml:space="preserve">A-008</t>
  </si>
  <si>
    <t xml:space="preserve">4200008999</t>
  </si>
  <si>
    <t xml:space="preserve">Quạt đứng ASIAVINA Turbo X - VY6</t>
  </si>
  <si>
    <t xml:space="preserve">A-009</t>
  </si>
  <si>
    <t xml:space="preserve">4200000163</t>
  </si>
  <si>
    <t xml:space="preserve">Quạt trần đảo ASIAvina - X16001-</t>
  </si>
  <si>
    <t xml:space="preserve">A-010</t>
  </si>
  <si>
    <t xml:space="preserve">4200009000</t>
  </si>
  <si>
    <t xml:space="preserve">A-011</t>
  </si>
  <si>
    <t xml:space="preserve">4200009001</t>
  </si>
  <si>
    <t xml:space="preserve">Quạt treo ASIAVINA Turbo X - VY6</t>
  </si>
  <si>
    <t xml:space="preserve">A-012</t>
  </si>
  <si>
    <t xml:space="preserve">4200008101</t>
  </si>
  <si>
    <t xml:space="preserve">Quạt lửng ASIAvina - VY538990 - </t>
  </si>
  <si>
    <t xml:space="preserve">A-013</t>
  </si>
  <si>
    <t xml:space="preserve">4200009382</t>
  </si>
  <si>
    <t xml:space="preserve">Quạt sàn ASIAVINA TURBO MAX - VY</t>
  </si>
  <si>
    <t xml:space="preserve">A-014</t>
  </si>
  <si>
    <t xml:space="preserve">4200007859</t>
  </si>
  <si>
    <t xml:space="preserve">Quạt đứng ASIAvina - VY639990 - </t>
  </si>
  <si>
    <t xml:space="preserve">A-015</t>
  </si>
  <si>
    <t xml:space="preserve">4200008372</t>
  </si>
  <si>
    <t xml:space="preserve">QUẠT SÀN TURBO VY616990</t>
  </si>
  <si>
    <t xml:space="preserve">A-016</t>
  </si>
  <si>
    <t xml:space="preserve">4200009002</t>
  </si>
  <si>
    <t xml:space="preserve">QUẠT treo ASIAVINA TURBO VY62789</t>
  </si>
  <si>
    <t xml:space="preserve">A-017</t>
  </si>
  <si>
    <t xml:space="preserve">4200008113</t>
  </si>
  <si>
    <t xml:space="preserve">Quạt đứng ASIAvina - VY539790 - </t>
  </si>
  <si>
    <t xml:space="preserve">A-018</t>
  </si>
  <si>
    <t xml:space="preserve">4200009625</t>
  </si>
  <si>
    <t xml:space="preserve">Quạt treo ASIAVINA - VY617090 - </t>
  </si>
  <si>
    <t xml:space="preserve">A-019</t>
  </si>
  <si>
    <t xml:space="preserve">4200009023</t>
  </si>
  <si>
    <t xml:space="preserve">Quạt treo ASIAVINA - VY377092 - </t>
  </si>
  <si>
    <t xml:space="preserve">A-020</t>
  </si>
  <si>
    <t xml:space="preserve">4200000164</t>
  </si>
  <si>
    <t xml:space="preserve">Quạt trần đảo ASIAvina - X16002-</t>
  </si>
  <si>
    <t xml:space="preserve">A-021</t>
  </si>
  <si>
    <t xml:space="preserve">4200008122</t>
  </si>
  <si>
    <t xml:space="preserve">Quạt treo ASIAvina - VY377790 - </t>
  </si>
  <si>
    <t xml:space="preserve">A-022</t>
  </si>
  <si>
    <t xml:space="preserve">4200008737</t>
  </si>
  <si>
    <t xml:space="preserve">Quạt treo ASIAVINA VY357792 - 55</t>
  </si>
  <si>
    <t xml:space="preserve">A-023</t>
  </si>
  <si>
    <t xml:space="preserve">4200008736</t>
  </si>
  <si>
    <t xml:space="preserve">Quạt treo ASIAVINA VY357192 - 55</t>
  </si>
  <si>
    <t xml:space="preserve">A-024</t>
  </si>
  <si>
    <t xml:space="preserve">1830009179</t>
  </si>
  <si>
    <t xml:space="preserve">Bàn ủi khô tích hợp bình xịt nướ</t>
  </si>
  <si>
    <t xml:space="preserve">SDA</t>
  </si>
  <si>
    <t xml:space="preserve">A-025</t>
  </si>
  <si>
    <t xml:space="preserve">4200009226</t>
  </si>
  <si>
    <t xml:space="preserve">Quạt lửng ASIAvina - VY358291 - </t>
  </si>
  <si>
    <t xml:space="preserve">A-026</t>
  </si>
  <si>
    <t xml:space="preserve">4100000722</t>
  </si>
  <si>
    <t xml:space="preserve">Quạt đứng Tefal - VF2820F0 - đen</t>
  </si>
  <si>
    <t xml:space="preserve">A-027</t>
  </si>
  <si>
    <t xml:space="preserve">4100000738</t>
  </si>
  <si>
    <t xml:space="preserve">Quạt đứng - TEFAL - VF4420F2 - đ</t>
  </si>
  <si>
    <t xml:space="preserve">A-028</t>
  </si>
  <si>
    <t xml:space="preserve">4100000838</t>
  </si>
  <si>
    <t xml:space="preserve">B-001</t>
  </si>
  <si>
    <t xml:space="preserve">7211005095</t>
  </si>
  <si>
    <t xml:space="preserve">Nồi cơm điện tử Tefal Rice Mate </t>
  </si>
  <si>
    <t xml:space="preserve">B</t>
  </si>
  <si>
    <t xml:space="preserve">B-002</t>
  </si>
  <si>
    <t xml:space="preserve">7211004545</t>
  </si>
  <si>
    <t xml:space="preserve">Nồi cơm điện Tefal Fuzzy Express</t>
  </si>
  <si>
    <t xml:space="preserve">B-003</t>
  </si>
  <si>
    <t xml:space="preserve">7211004640</t>
  </si>
  <si>
    <t xml:space="preserve">Máy xay nấu đa năng  Tefal Perfe</t>
  </si>
  <si>
    <t xml:space="preserve">B-004</t>
  </si>
  <si>
    <t xml:space="preserve">7211419352</t>
  </si>
  <si>
    <t xml:space="preserve">Bình đun siêu tốc Tefal KI605830</t>
  </si>
  <si>
    <t xml:space="preserve">B-005</t>
  </si>
  <si>
    <t xml:space="preserve">7211004596</t>
  </si>
  <si>
    <t xml:space="preserve">Nồi cơm điện tửTefal Easy Rice P</t>
  </si>
  <si>
    <t xml:space="preserve">B-006</t>
  </si>
  <si>
    <t xml:space="preserve">2100122707</t>
  </si>
  <si>
    <t xml:space="preserve">Chảo chiên sâu lồng Tefal So Che</t>
  </si>
  <si>
    <t xml:space="preserve">CW</t>
  </si>
  <si>
    <t xml:space="preserve">B-007</t>
  </si>
  <si>
    <t xml:space="preserve">7211419468</t>
  </si>
  <si>
    <t xml:space="preserve">Bình đun siêu tốc Tefal Colour K</t>
  </si>
  <si>
    <t xml:space="preserve">B-008</t>
  </si>
  <si>
    <t xml:space="preserve">2100122708</t>
  </si>
  <si>
    <t xml:space="preserve">Chảo chiên Tefal So Chef 21cm</t>
  </si>
  <si>
    <t xml:space="preserve">B-009</t>
  </si>
  <si>
    <t xml:space="preserve">4200008262</t>
  </si>
  <si>
    <t xml:space="preserve">Quạt sàn TEFAL TB Silence Plus V</t>
  </si>
  <si>
    <t xml:space="preserve">B-010</t>
  </si>
  <si>
    <t xml:space="preserve">7211419432</t>
  </si>
  <si>
    <t xml:space="preserve">B-011</t>
  </si>
  <si>
    <t xml:space="preserve">2100122710</t>
  </si>
  <si>
    <t xml:space="preserve">Chảo chiên Tefal So Chef 28cm</t>
  </si>
  <si>
    <t xml:space="preserve">B-012</t>
  </si>
  <si>
    <t xml:space="preserve">1830008176</t>
  </si>
  <si>
    <t xml:space="preserve">Bàn ủi hơi nước đứng Tefal IXEO </t>
  </si>
  <si>
    <t xml:space="preserve">B-013</t>
  </si>
  <si>
    <t xml:space="preserve">7211005213</t>
  </si>
  <si>
    <t xml:space="preserve">Nồi cơm điện tử Tefal EasyRice M</t>
  </si>
  <si>
    <t xml:space="preserve">B-014</t>
  </si>
  <si>
    <t xml:space="preserve">2100118817</t>
  </si>
  <si>
    <t xml:space="preserve">Chảo chiên Tefal Primary 20cm</t>
  </si>
  <si>
    <t xml:space="preserve">B-015</t>
  </si>
  <si>
    <t xml:space="preserve">7211419390</t>
  </si>
  <si>
    <t xml:space="preserve">Máy xay sinh tố và sữa hạt Tefal</t>
  </si>
  <si>
    <t xml:space="preserve">B-016</t>
  </si>
  <si>
    <t xml:space="preserve">4200009453</t>
  </si>
  <si>
    <t xml:space="preserve">Quạt đứng TEFAL Turbo Silence Ex</t>
  </si>
  <si>
    <t xml:space="preserve">B-017</t>
  </si>
  <si>
    <t xml:space="preserve">4200009380</t>
  </si>
  <si>
    <t xml:space="preserve">Quạt đứng ASIAVINA TURBO MAX - V</t>
  </si>
  <si>
    <t xml:space="preserve">B-018</t>
  </si>
  <si>
    <t xml:space="preserve">4200000157</t>
  </si>
  <si>
    <t xml:space="preserve">Quạt treo CN ASIAvina - L24001-D</t>
  </si>
  <si>
    <t xml:space="preserve">B-019</t>
  </si>
  <si>
    <t xml:space="preserve">4200008260</t>
  </si>
  <si>
    <t xml:space="preserve">Quạt đứng TEFAL TB Silence Plus </t>
  </si>
  <si>
    <t xml:space="preserve">B-020</t>
  </si>
  <si>
    <t xml:space="preserve">4200008107</t>
  </si>
  <si>
    <t xml:space="preserve">Quạt lửng ASIAvina - VY358990 - </t>
  </si>
  <si>
    <t xml:space="preserve">B-021</t>
  </si>
  <si>
    <t xml:space="preserve">7211004136</t>
  </si>
  <si>
    <t xml:space="preserve">Máy xay sinh tố Tefal - BL967B66</t>
  </si>
  <si>
    <t xml:space="preserve">B-022</t>
  </si>
  <si>
    <t xml:space="preserve">4200009655</t>
  </si>
  <si>
    <t xml:space="preserve">Quạt đứng ASIAVINA TURBO DECOR -</t>
  </si>
  <si>
    <t xml:space="preserve">B-023</t>
  </si>
  <si>
    <t xml:space="preserve">4200009617</t>
  </si>
  <si>
    <t xml:space="preserve">Quạt đứng ASIAVINA TURBO PLUS - </t>
  </si>
  <si>
    <t xml:space="preserve">B-024</t>
  </si>
  <si>
    <t xml:space="preserve">4200009005</t>
  </si>
  <si>
    <t xml:space="preserve">Quạt đứng BCN ASIAVINA - VY58989</t>
  </si>
  <si>
    <t xml:space="preserve">B-025</t>
  </si>
  <si>
    <t xml:space="preserve">4200009019</t>
  </si>
  <si>
    <t xml:space="preserve">Quạt lửng ASIAVINA TURBO PLUS - </t>
  </si>
  <si>
    <t xml:space="preserve">B-026</t>
  </si>
  <si>
    <t xml:space="preserve">4200000156</t>
  </si>
  <si>
    <t xml:space="preserve">Quạt treo ASIAvina - L20002-DV0 </t>
  </si>
  <si>
    <t xml:space="preserve">B-027</t>
  </si>
  <si>
    <t xml:space="preserve">4200009008</t>
  </si>
  <si>
    <t xml:space="preserve">Quạt sàn BCN ASIAVINA - VY586790</t>
  </si>
  <si>
    <t xml:space="preserve">B-028</t>
  </si>
  <si>
    <t xml:space="preserve">4200009004</t>
  </si>
  <si>
    <t xml:space="preserve">Quạt đứng BCN ASIAVINA - VY58979</t>
  </si>
  <si>
    <t xml:space="preserve">B-029</t>
  </si>
  <si>
    <t xml:space="preserve">4200009620</t>
  </si>
  <si>
    <t xml:space="preserve">Quạt sàn ASIAVINA TURBO PLUS - V</t>
  </si>
  <si>
    <t xml:space="preserve">B-030</t>
  </si>
  <si>
    <t xml:space="preserve">4200009618</t>
  </si>
  <si>
    <t xml:space="preserve">B-031</t>
  </si>
  <si>
    <t xml:space="preserve">4200009006</t>
  </si>
  <si>
    <t xml:space="preserve">Nồi Inox cao cấp cán dài Tefal D</t>
  </si>
  <si>
    <t xml:space="preserve">B-032</t>
  </si>
  <si>
    <t xml:space="preserve">4200009007</t>
  </si>
  <si>
    <t xml:space="preserve">Quạt treo BCN ASIAVINA - VY58789</t>
  </si>
  <si>
    <t xml:space="preserve">B-033</t>
  </si>
  <si>
    <t xml:space="preserve">4200009022</t>
  </si>
  <si>
    <t xml:space="preserve">Quạt Treo ASIAVINA VY377192 -XAN</t>
  </si>
  <si>
    <t xml:space="preserve">B-034</t>
  </si>
  <si>
    <t xml:space="preserve">4200009010</t>
  </si>
  <si>
    <t xml:space="preserve">Quạt lửng BCN ASIAVINA - VY55889</t>
  </si>
  <si>
    <t xml:space="preserve">B-035</t>
  </si>
  <si>
    <t xml:space="preserve">4200009621</t>
  </si>
  <si>
    <t xml:space="preserve">B-036</t>
  </si>
  <si>
    <t xml:space="preserve">4200008734</t>
  </si>
  <si>
    <t xml:space="preserve">Quạt lửng ASIAVINA VY358792 - 55</t>
  </si>
  <si>
    <t xml:space="preserve">B-037</t>
  </si>
  <si>
    <t xml:space="preserve">4200008735</t>
  </si>
  <si>
    <t xml:space="preserve">Quạt lửng ASIAVINA VY358192 - 55</t>
  </si>
  <si>
    <t xml:space="preserve">B-038</t>
  </si>
  <si>
    <t xml:space="preserve">4200008695</t>
  </si>
  <si>
    <t xml:space="preserve">Quạt treo BCN ASIAVINA VY557990 </t>
  </si>
  <si>
    <t xml:space="preserve">B-039</t>
  </si>
  <si>
    <t xml:space="preserve">4200009294</t>
  </si>
  <si>
    <t xml:space="preserve">C-001</t>
  </si>
  <si>
    <t xml:space="preserve">7211004924</t>
  </si>
  <si>
    <t xml:space="preserve">Nồi cơm điện tử cao tần Tefal RK</t>
  </si>
  <si>
    <t xml:space="preserve">C</t>
  </si>
  <si>
    <t xml:space="preserve">C-002</t>
  </si>
  <si>
    <t xml:space="preserve">7211419286</t>
  </si>
  <si>
    <t xml:space="preserve">Nồi chiên không dầu Tefal EasyFr</t>
  </si>
  <si>
    <t xml:space="preserve">C-003</t>
  </si>
  <si>
    <t xml:space="preserve">8010000653</t>
  </si>
  <si>
    <t xml:space="preserve">Máy ép trái cây ZE420D38</t>
  </si>
  <si>
    <t xml:space="preserve">C-004</t>
  </si>
  <si>
    <t xml:space="preserve">1830009015</t>
  </si>
  <si>
    <t xml:space="preserve">Bàn ủi hơi nước đứng Tefal IT347</t>
  </si>
  <si>
    <t xml:space="preserve">C-005</t>
  </si>
  <si>
    <t xml:space="preserve">2100118819</t>
  </si>
  <si>
    <t xml:space="preserve">Chảo chiên Tefal Primary 26cm</t>
  </si>
  <si>
    <t xml:space="preserve">C-006</t>
  </si>
  <si>
    <t xml:space="preserve">2100118818</t>
  </si>
  <si>
    <t xml:space="preserve">Chảo chiên Tefal Primary 24cm</t>
  </si>
  <si>
    <t xml:space="preserve">C-007</t>
  </si>
  <si>
    <t xml:space="preserve">1830007932</t>
  </si>
  <si>
    <t xml:space="preserve">C-008</t>
  </si>
  <si>
    <t xml:space="preserve">7211004515</t>
  </si>
  <si>
    <t xml:space="preserve">Nồi áp suất điện đa năng Tefal T</t>
  </si>
  <si>
    <t xml:space="preserve">C-009</t>
  </si>
  <si>
    <t xml:space="preserve">1830008982</t>
  </si>
  <si>
    <t xml:space="preserve">Bàn ủi hơi nước cầm tay DT1034E1</t>
  </si>
  <si>
    <t xml:space="preserve">C-010</t>
  </si>
  <si>
    <t xml:space="preserve">7211004200</t>
  </si>
  <si>
    <t xml:space="preserve">Nồi cơm điện cơ mini Tefal RK224</t>
  </si>
  <si>
    <t xml:space="preserve">C-011</t>
  </si>
  <si>
    <t xml:space="preserve">7212000233</t>
  </si>
  <si>
    <t xml:space="preserve">Nồi cơm điện tử thông minh Niêu </t>
  </si>
  <si>
    <t xml:space="preserve">C-012</t>
  </si>
  <si>
    <t xml:space="preserve">1830009281</t>
  </si>
  <si>
    <t xml:space="preserve">Bàn ủi hơi nước Tefal Virtuo 30 </t>
  </si>
  <si>
    <t xml:space="preserve">C-013</t>
  </si>
  <si>
    <t xml:space="preserve">7211003299</t>
  </si>
  <si>
    <t xml:space="preserve">Nồi lẩu điện HFK26EVN-130</t>
  </si>
  <si>
    <t xml:space="preserve">C-014</t>
  </si>
  <si>
    <t xml:space="preserve">7211004284</t>
  </si>
  <si>
    <t xml:space="preserve">Nồi áp suất điện đa năng Tefal H</t>
  </si>
  <si>
    <t xml:space="preserve">C-015</t>
  </si>
  <si>
    <t xml:space="preserve">7211419108</t>
  </si>
  <si>
    <t xml:space="preserve">Nồi chiên không dầu điện tử Tefa</t>
  </si>
  <si>
    <t xml:space="preserve">C-016</t>
  </si>
  <si>
    <t xml:space="preserve">2100112291</t>
  </si>
  <si>
    <t xml:space="preserve">Chảo chiên Tefal Unlimited 26cm</t>
  </si>
  <si>
    <t xml:space="preserve">C-017</t>
  </si>
  <si>
    <t xml:space="preserve">4200009381</t>
  </si>
  <si>
    <t xml:space="preserve">C-018</t>
  </si>
  <si>
    <t xml:space="preserve">7211003822</t>
  </si>
  <si>
    <t xml:space="preserve">Bình đun siêu tốc Tefal Smart &amp; </t>
  </si>
  <si>
    <t xml:space="preserve">C-019</t>
  </si>
  <si>
    <t xml:space="preserve">4200009377</t>
  </si>
  <si>
    <t xml:space="preserve">Quạt lửng ASIAVINA TURBO X - VY6</t>
  </si>
  <si>
    <t xml:space="preserve">C-020</t>
  </si>
  <si>
    <t xml:space="preserve">7211004327</t>
  </si>
  <si>
    <t xml:space="preserve">Máy húi bụi không dây X-pert 6.6</t>
  </si>
  <si>
    <t xml:space="preserve">C-021</t>
  </si>
  <si>
    <t xml:space="preserve">7211005232</t>
  </si>
  <si>
    <t xml:space="preserve">Nồi cơm cao tần Tefal Rice Maste</t>
  </si>
  <si>
    <t xml:space="preserve">C-022</t>
  </si>
  <si>
    <t xml:space="preserve">7211003300</t>
  </si>
  <si>
    <t xml:space="preserve">Nồi lẩu điện H30FK802VN-136</t>
  </si>
  <si>
    <t xml:space="preserve">C-023</t>
  </si>
  <si>
    <t xml:space="preserve">2100120064</t>
  </si>
  <si>
    <t xml:space="preserve">Chảo chiên Tefal Day By Day 28cm</t>
  </si>
  <si>
    <t xml:space="preserve">C-024</t>
  </si>
  <si>
    <t xml:space="preserve">1830009219</t>
  </si>
  <si>
    <t xml:space="preserve">Bàn ủi 2-trong-1 Duo Power kết h</t>
  </si>
  <si>
    <t xml:space="preserve">C-025</t>
  </si>
  <si>
    <t xml:space="preserve">4200000088</t>
  </si>
  <si>
    <t xml:space="preserve">Quạt đứng CN ASIAvina - D24001-D</t>
  </si>
  <si>
    <t xml:space="preserve">C-026</t>
  </si>
  <si>
    <t xml:space="preserve">2100136216</t>
  </si>
  <si>
    <t xml:space="preserve">Nồi Inox cao cấp Tefal Duetto Pl</t>
  </si>
  <si>
    <t xml:space="preserve">C-027</t>
  </si>
  <si>
    <t xml:space="preserve">7211004524</t>
  </si>
  <si>
    <t xml:space="preserve">Nồi cơm điện Tefal Easy Rice Com</t>
  </si>
  <si>
    <t xml:space="preserve">C-028</t>
  </si>
  <si>
    <t xml:space="preserve">2100131962</t>
  </si>
  <si>
    <t xml:space="preserve">Chảo sâu lồng Tefal So Matcha 28</t>
  </si>
  <si>
    <t xml:space="preserve">C-029</t>
  </si>
  <si>
    <t xml:space="preserve">2100120952</t>
  </si>
  <si>
    <t xml:space="preserve">Nồi cán dài/ quánh Tefal Primary</t>
  </si>
  <si>
    <t xml:space="preserve">C-030</t>
  </si>
  <si>
    <t xml:space="preserve">1830008321</t>
  </si>
  <si>
    <t xml:space="preserve">Bàn ủi hơi nước Tefal Easy Steam</t>
  </si>
  <si>
    <t xml:space="preserve">C-031</t>
  </si>
  <si>
    <t xml:space="preserve">4200009021</t>
  </si>
  <si>
    <t xml:space="preserve">Quạt treo ASIAVINA TURBO PLUS - </t>
  </si>
  <si>
    <t xml:space="preserve">C-032</t>
  </si>
  <si>
    <t xml:space="preserve">2100131961</t>
  </si>
  <si>
    <t xml:space="preserve">Chảo sâu lồng Tefal So Matcha 24</t>
  </si>
  <si>
    <t xml:space="preserve">C-033</t>
  </si>
  <si>
    <t xml:space="preserve">4200009654</t>
  </si>
  <si>
    <t xml:space="preserve">C-034</t>
  </si>
  <si>
    <t xml:space="preserve">2100112288</t>
  </si>
  <si>
    <t xml:space="preserve">Chảo chiên sâu lồng Tefal Unlimi</t>
  </si>
  <si>
    <t xml:space="preserve">C-035</t>
  </si>
  <si>
    <t xml:space="preserve">2100136213</t>
  </si>
  <si>
    <t xml:space="preserve">C-036</t>
  </si>
  <si>
    <t xml:space="preserve">7115900974</t>
  </si>
  <si>
    <t xml:space="preserve">Chảo chiên Supor Star H23110-J26</t>
  </si>
  <si>
    <t xml:space="preserve">C-037</t>
  </si>
  <si>
    <t xml:space="preserve">2100140775</t>
  </si>
  <si>
    <t xml:space="preserve">Chảo Inox cao cấp Professional T</t>
  </si>
  <si>
    <t xml:space="preserve">C-038</t>
  </si>
  <si>
    <t xml:space="preserve">1830007629</t>
  </si>
  <si>
    <t xml:space="preserve">Bàn ủi hơi nước đứng Tefal -  IT</t>
  </si>
  <si>
    <t xml:space="preserve">C-039</t>
  </si>
  <si>
    <t xml:space="preserve">2100131964</t>
  </si>
  <si>
    <t xml:space="preserve">Chảo chiên Tefal So Matcha 24cm</t>
  </si>
  <si>
    <t xml:space="preserve">C-040</t>
  </si>
  <si>
    <t xml:space="preserve">2100132120</t>
  </si>
  <si>
    <t xml:space="preserve">Chảo nồi có nắp đa năng 3 trong </t>
  </si>
  <si>
    <t xml:space="preserve">C-041</t>
  </si>
  <si>
    <t xml:space="preserve">2100112229</t>
  </si>
  <si>
    <t xml:space="preserve">Chảo chiên Tefal Cook Healthy 28</t>
  </si>
  <si>
    <t xml:space="preserve">C-042</t>
  </si>
  <si>
    <t xml:space="preserve">2100122706</t>
  </si>
  <si>
    <t xml:space="preserve">C-043</t>
  </si>
  <si>
    <t xml:space="preserve">2100120061</t>
  </si>
  <si>
    <t xml:space="preserve">Chảo chiên sâu lồng Tefal Day By</t>
  </si>
  <si>
    <t xml:space="preserve">C-044</t>
  </si>
  <si>
    <t xml:space="preserve">2100112289</t>
  </si>
  <si>
    <t xml:space="preserve">Chảo chiên Tefal Unlimited 22cm</t>
  </si>
  <si>
    <t xml:space="preserve">C-045</t>
  </si>
  <si>
    <t xml:space="preserve">4200009009</t>
  </si>
  <si>
    <t xml:space="preserve">Quạt sàn BCN ASIAVINA - VY586890</t>
  </si>
  <si>
    <t xml:space="preserve">C-046</t>
  </si>
  <si>
    <t xml:space="preserve">2100136212</t>
  </si>
  <si>
    <t xml:space="preserve">C-047</t>
  </si>
  <si>
    <t xml:space="preserve">7211005445</t>
  </si>
  <si>
    <t xml:space="preserve">Nồi cơm điện tử Mini Tefal POP R</t>
  </si>
  <si>
    <t xml:space="preserve">C-048</t>
  </si>
  <si>
    <t xml:space="preserve">7211004920</t>
  </si>
  <si>
    <t xml:space="preserve">Nồi áp suất điện đa năng Tefal S</t>
  </si>
  <si>
    <t xml:space="preserve">C-049</t>
  </si>
  <si>
    <t xml:space="preserve">2100136220</t>
  </si>
  <si>
    <t xml:space="preserve">Bộ 3 nồi Inox cao cấp Tefal Duet</t>
  </si>
  <si>
    <t xml:space="preserve">C-050</t>
  </si>
  <si>
    <t xml:space="preserve">2100124960</t>
  </si>
  <si>
    <t xml:space="preserve">Chảo đúc cao cấp Tefal Robusto c</t>
  </si>
  <si>
    <t xml:space="preserve">C-051</t>
  </si>
  <si>
    <t xml:space="preserve">4200009627</t>
  </si>
  <si>
    <t xml:space="preserve">Quạt sàn ASIAVINA - VY616090 - Đ</t>
  </si>
  <si>
    <t xml:space="preserve">C-052</t>
  </si>
  <si>
    <t xml:space="preserve">7115900325</t>
  </si>
  <si>
    <t xml:space="preserve">Chảo chống dính Everyway F09A16-</t>
  </si>
  <si>
    <t xml:space="preserve">C-053</t>
  </si>
  <si>
    <t xml:space="preserve">4200009378</t>
  </si>
  <si>
    <t xml:space="preserve">C-054</t>
  </si>
  <si>
    <t xml:space="preserve">2100111903</t>
  </si>
  <si>
    <t xml:space="preserve">Chảo chiên Tefal Natura 20cm</t>
  </si>
  <si>
    <t xml:space="preserve">C-055</t>
  </si>
  <si>
    <t xml:space="preserve">7211005120</t>
  </si>
  <si>
    <t xml:space="preserve">Bàn ủi đứng kết hợp móc treo 2 t</t>
  </si>
  <si>
    <t xml:space="preserve">C-056</t>
  </si>
  <si>
    <t xml:space="preserve">7211005280</t>
  </si>
  <si>
    <t xml:space="preserve">C-057</t>
  </si>
  <si>
    <t xml:space="preserve">7211419330</t>
  </si>
  <si>
    <t xml:space="preserve">Máy xay thực phẩm Tefal Choppeo </t>
  </si>
  <si>
    <t xml:space="preserve">C-058</t>
  </si>
  <si>
    <t xml:space="preserve">7115900326</t>
  </si>
  <si>
    <t xml:space="preserve">Chảo chống dính Everyway F09A-20</t>
  </si>
  <si>
    <t xml:space="preserve">C-059</t>
  </si>
  <si>
    <t xml:space="preserve">7115900500</t>
  </si>
  <si>
    <t xml:space="preserve">Chảo xào chống dính Comfort W06A</t>
  </si>
  <si>
    <t xml:space="preserve">C-060</t>
  </si>
  <si>
    <t xml:space="preserve">4200009379</t>
  </si>
  <si>
    <t xml:space="preserve">C-061</t>
  </si>
  <si>
    <t xml:space="preserve">7115900499</t>
  </si>
  <si>
    <t xml:space="preserve">C-062</t>
  </si>
  <si>
    <t xml:space="preserve">2100122709</t>
  </si>
  <si>
    <t xml:space="preserve">Chảo chiên Tefal So Chef 24cm</t>
  </si>
  <si>
    <t xml:space="preserve">C-063</t>
  </si>
  <si>
    <t xml:space="preserve">2100118816</t>
  </si>
  <si>
    <t xml:space="preserve">Chảo xào Tefal Primary 28cm</t>
  </si>
  <si>
    <t xml:space="preserve">C-064</t>
  </si>
  <si>
    <t xml:space="preserve">2100112226</t>
  </si>
  <si>
    <t xml:space="preserve">Chảo chiên sâu lòng Tefal Cook H</t>
  </si>
  <si>
    <t xml:space="preserve">C-065</t>
  </si>
  <si>
    <t xml:space="preserve">7211003302</t>
  </si>
  <si>
    <t xml:space="preserve">Bếp điện từ SDHCB11TVN-GR-210</t>
  </si>
  <si>
    <t xml:space="preserve">C-066</t>
  </si>
  <si>
    <t xml:space="preserve">4200009619</t>
  </si>
  <si>
    <t xml:space="preserve">C-067</t>
  </si>
  <si>
    <t xml:space="preserve">1830007745</t>
  </si>
  <si>
    <t xml:space="preserve">Bàn ủi cầm tay Tefal - DT6130E0</t>
  </si>
  <si>
    <t xml:space="preserve">C-068</t>
  </si>
  <si>
    <t xml:space="preserve">4200009622</t>
  </si>
  <si>
    <t xml:space="preserve">C-069</t>
  </si>
  <si>
    <t xml:space="preserve">7211004534</t>
  </si>
  <si>
    <t xml:space="preserve">Máy xay sinh tố Tefal Blendforce</t>
  </si>
  <si>
    <t xml:space="preserve">C-070</t>
  </si>
  <si>
    <t xml:space="preserve">2100131959</t>
  </si>
  <si>
    <t xml:space="preserve">Nồi cán dài Tefal So Matcha 18cm</t>
  </si>
  <si>
    <t xml:space="preserve">C-071</t>
  </si>
  <si>
    <t xml:space="preserve">4200000161</t>
  </si>
  <si>
    <t xml:space="preserve">Quạt hút ASIAvina - V04001-SV0 -</t>
  </si>
  <si>
    <t xml:space="preserve">C-072</t>
  </si>
  <si>
    <t xml:space="preserve">4200009018</t>
  </si>
  <si>
    <t xml:space="preserve">C-073</t>
  </si>
  <si>
    <t xml:space="preserve">2100136883</t>
  </si>
  <si>
    <t xml:space="preserve">Chảo chiên chống dính Tefal Flav</t>
  </si>
  <si>
    <t xml:space="preserve">C-074</t>
  </si>
  <si>
    <t xml:space="preserve">7211004184</t>
  </si>
  <si>
    <t xml:space="preserve">Nồi cơm điện tử Tefal RK732168 -</t>
  </si>
  <si>
    <t xml:space="preserve">C-075</t>
  </si>
  <si>
    <t xml:space="preserve">2100129888</t>
  </si>
  <si>
    <t xml:space="preserve">C-076</t>
  </si>
  <si>
    <t xml:space="preserve">1830009516</t>
  </si>
  <si>
    <t xml:space="preserve">C-077</t>
  </si>
  <si>
    <t xml:space="preserve">2027451120</t>
  </si>
  <si>
    <t xml:space="preserve">Xẻng chịu nhiệt Tefal Bienvenue </t>
  </si>
  <si>
    <t xml:space="preserve">C-078</t>
  </si>
  <si>
    <t xml:space="preserve">2100112230</t>
  </si>
  <si>
    <t xml:space="preserve">Nồi cán dài - quánh Tefal So Che</t>
  </si>
  <si>
    <t xml:space="preserve">C-079</t>
  </si>
  <si>
    <t xml:space="preserve">7211419476</t>
  </si>
  <si>
    <t xml:space="preserve">Bình đun siêu tốc Tefal KO190AE0</t>
  </si>
  <si>
    <t xml:space="preserve">C-080</t>
  </si>
  <si>
    <t xml:space="preserve">2100112225</t>
  </si>
  <si>
    <t xml:space="preserve">C-081</t>
  </si>
  <si>
    <t xml:space="preserve">1830009258</t>
  </si>
  <si>
    <t xml:space="preserve">Bàn ủi cầm tay Pure POP Home &amp; T</t>
  </si>
  <si>
    <t xml:space="preserve">C-082</t>
  </si>
  <si>
    <t xml:space="preserve">1510001949</t>
  </si>
  <si>
    <t xml:space="preserve">Máy vắt cam ZP300138 - Trắng</t>
  </si>
  <si>
    <t xml:space="preserve">C-083</t>
  </si>
  <si>
    <t xml:space="preserve">2100121732</t>
  </si>
  <si>
    <t xml:space="preserve">Dao gọt trái cây Tefal Comfort  </t>
  </si>
  <si>
    <t xml:space="preserve">C-084</t>
  </si>
  <si>
    <t xml:space="preserve">2100120953</t>
  </si>
  <si>
    <t xml:space="preserve">Nồi Tefal Primary 20cm</t>
  </si>
  <si>
    <t xml:space="preserve">C-085</t>
  </si>
  <si>
    <t xml:space="preserve">1510001964</t>
  </si>
  <si>
    <t xml:space="preserve">Nồi chiên không dầu Tefal 9 tron</t>
  </si>
  <si>
    <t xml:space="preserve">C-086</t>
  </si>
  <si>
    <t xml:space="preserve">7116900165</t>
  </si>
  <si>
    <t xml:space="preserve">Bộ 3 nồi đúc vân đá xanh DuraRoc</t>
  </si>
  <si>
    <t xml:space="preserve">C-087</t>
  </si>
  <si>
    <t xml:space="preserve">7211004996</t>
  </si>
  <si>
    <t xml:space="preserve">Máy xay sinh tố Tefal PerfectMix</t>
  </si>
  <si>
    <t xml:space="preserve">C-088</t>
  </si>
  <si>
    <t xml:space="preserve">7211004944</t>
  </si>
  <si>
    <t xml:space="preserve">Máy xay sinh tố cá nhân Mix&amp;Move</t>
  </si>
  <si>
    <t xml:space="preserve">C-089</t>
  </si>
  <si>
    <t xml:space="preserve">4200009024</t>
  </si>
  <si>
    <t xml:space="preserve">Quạt Treo ASIAVINAVY377292 - XAN</t>
  </si>
  <si>
    <t xml:space="preserve">C-090</t>
  </si>
  <si>
    <t xml:space="preserve">2100136214</t>
  </si>
  <si>
    <t xml:space="preserve">C-091</t>
  </si>
  <si>
    <t xml:space="preserve">8010001360</t>
  </si>
  <si>
    <t xml:space="preserve">Máy xay sinh tố Tefal DuraForce </t>
  </si>
  <si>
    <t xml:space="preserve">C-092</t>
  </si>
  <si>
    <t xml:space="preserve">7211004196</t>
  </si>
  <si>
    <t xml:space="preserve">Nồi cơm điện tử Tefal RK762168 -</t>
  </si>
  <si>
    <t xml:space="preserve">C-093</t>
  </si>
  <si>
    <t xml:space="preserve">7115900757</t>
  </si>
  <si>
    <t xml:space="preserve">Chảo vân đá chống dính dùng trên</t>
  </si>
  <si>
    <t xml:space="preserve">C-094</t>
  </si>
  <si>
    <t xml:space="preserve">7115900926</t>
  </si>
  <si>
    <t xml:space="preserve">Chảo đúc vân đá xanh DuraRock 24</t>
  </si>
  <si>
    <t xml:space="preserve">C-095</t>
  </si>
  <si>
    <t xml:space="preserve">7115900916</t>
  </si>
  <si>
    <t xml:space="preserve">Nồi TRENDY 20 cm, màu carrot</t>
  </si>
  <si>
    <t xml:space="preserve">C-096</t>
  </si>
  <si>
    <t xml:space="preserve">2100111905</t>
  </si>
  <si>
    <t xml:space="preserve">Chảo chiên Tefal Natura 28cm</t>
  </si>
  <si>
    <t xml:space="preserve">C-097</t>
  </si>
  <si>
    <t xml:space="preserve">7211004358</t>
  </si>
  <si>
    <t xml:space="preserve">Máy xay sinh tố Tefal Blendeo+ B</t>
  </si>
  <si>
    <t xml:space="preserve">C-098</t>
  </si>
  <si>
    <t xml:space="preserve">1830007520</t>
  </si>
  <si>
    <t xml:space="preserve">C-099</t>
  </si>
  <si>
    <t xml:space="preserve">7211004888</t>
  </si>
  <si>
    <t xml:space="preserve">Nồi cơm điện tử Delirice Plus 1.</t>
  </si>
  <si>
    <t xml:space="preserve">C-100</t>
  </si>
  <si>
    <t xml:space="preserve">1510002613</t>
  </si>
  <si>
    <t xml:space="preserve">C-101</t>
  </si>
  <si>
    <t xml:space="preserve">7211005448</t>
  </si>
  <si>
    <t xml:space="preserve">C-102</t>
  </si>
  <si>
    <t xml:space="preserve">7211005180</t>
  </si>
  <si>
    <t xml:space="preserve">Máy hút bụi không dây Expert 7.6</t>
  </si>
  <si>
    <t xml:space="preserve">C-103</t>
  </si>
  <si>
    <t xml:space="preserve">2100136188</t>
  </si>
  <si>
    <t xml:space="preserve">C-104</t>
  </si>
  <si>
    <t xml:space="preserve">2100112224</t>
  </si>
  <si>
    <t xml:space="preserve">C-105</t>
  </si>
  <si>
    <t xml:space="preserve">1830009279</t>
  </si>
  <si>
    <t xml:space="preserve">Bàn ủi hơi nước  Tefal Virtuo 30</t>
  </si>
  <si>
    <t xml:space="preserve">C-106</t>
  </si>
  <si>
    <t xml:space="preserve">2100140776</t>
  </si>
  <si>
    <t xml:space="preserve">C-107</t>
  </si>
  <si>
    <t xml:space="preserve">2100129889</t>
  </si>
  <si>
    <t xml:space="preserve">C-108</t>
  </si>
  <si>
    <t xml:space="preserve">2100127513</t>
  </si>
  <si>
    <t xml:space="preserve">Bộ 3 nồi inox Tefal Optispace ca</t>
  </si>
  <si>
    <t xml:space="preserve">C-109</t>
  </si>
  <si>
    <t xml:space="preserve">7211003241</t>
  </si>
  <si>
    <t xml:space="preserve">Máy ép trái cây ZC150838</t>
  </si>
  <si>
    <t xml:space="preserve">C-110</t>
  </si>
  <si>
    <t xml:space="preserve">2100124959</t>
  </si>
  <si>
    <t xml:space="preserve">C-111</t>
  </si>
  <si>
    <t xml:space="preserve">7115900943</t>
  </si>
  <si>
    <t xml:space="preserve">Chảo cao cấp vân đá đen Rock Mar</t>
  </si>
  <si>
    <t xml:space="preserve">C-112</t>
  </si>
  <si>
    <t xml:space="preserve">2100136221</t>
  </si>
  <si>
    <t xml:space="preserve">Bộ 5 nồi Inox cao cấp Tefal Duet</t>
  </si>
  <si>
    <t xml:space="preserve">C-113</t>
  </si>
  <si>
    <t xml:space="preserve">2100136851</t>
  </si>
  <si>
    <t xml:space="preserve">C-114</t>
  </si>
  <si>
    <t xml:space="preserve">7211004067</t>
  </si>
  <si>
    <t xml:space="preserve">Máy xay sinh tố Tefal - BL42Q166</t>
  </si>
  <si>
    <t xml:space="preserve">C-115</t>
  </si>
  <si>
    <t xml:space="preserve">2100121619</t>
  </si>
  <si>
    <t xml:space="preserve">Chảo chiên Inox cao cấp Tefal Du</t>
  </si>
  <si>
    <t xml:space="preserve">C-116</t>
  </si>
  <si>
    <t xml:space="preserve">2100124957</t>
  </si>
  <si>
    <t xml:space="preserve">Chảo đúc cao cấp sâu lồng Tefal </t>
  </si>
  <si>
    <t xml:space="preserve">C-117</t>
  </si>
  <si>
    <t xml:space="preserve">2100124958</t>
  </si>
  <si>
    <t xml:space="preserve">C-118</t>
  </si>
  <si>
    <t xml:space="preserve">7212000170</t>
  </si>
  <si>
    <t xml:space="preserve">Nồi áp suất điện tử New deliciou</t>
  </si>
  <si>
    <t xml:space="preserve">C-119</t>
  </si>
  <si>
    <t xml:space="preserve">7211004427</t>
  </si>
  <si>
    <t xml:space="preserve">C-120</t>
  </si>
  <si>
    <t xml:space="preserve">2100112292</t>
  </si>
  <si>
    <t xml:space="preserve">Chảo chiên Tefal Unlimited 28cm</t>
  </si>
  <si>
    <t xml:space="preserve">C-121</t>
  </si>
  <si>
    <t xml:space="preserve">2100131960</t>
  </si>
  <si>
    <t xml:space="preserve">Nồi Tefal So Matcha 24cm</t>
  </si>
  <si>
    <t xml:space="preserve">C-122</t>
  </si>
  <si>
    <t xml:space="preserve">2100118820</t>
  </si>
  <si>
    <t xml:space="preserve">Chảo chiên Tefal Primary 28cm</t>
  </si>
  <si>
    <t xml:space="preserve">C-123</t>
  </si>
  <si>
    <t xml:space="preserve">2100111904</t>
  </si>
  <si>
    <t xml:space="preserve">Chảo chiên Tefal Natura 24cm</t>
  </si>
  <si>
    <t xml:space="preserve">C-124</t>
  </si>
  <si>
    <t xml:space="preserve">7211005398</t>
  </si>
  <si>
    <t xml:space="preserve">Nồi cơm điện tử Tefal RK752168 -</t>
  </si>
  <si>
    <t xml:space="preserve">C-125</t>
  </si>
  <si>
    <t xml:space="preserve">4200009623</t>
  </si>
  <si>
    <t xml:space="preserve">Quạt đứng ASIAVINA - VY619090 - </t>
  </si>
  <si>
    <t xml:space="preserve">C-126</t>
  </si>
  <si>
    <t xml:space="preserve">2100127352</t>
  </si>
  <si>
    <t xml:space="preserve">C-127</t>
  </si>
  <si>
    <t xml:space="preserve">7115900921</t>
  </si>
  <si>
    <t xml:space="preserve">Chảo xào TRENDY 28 cm, màu carro</t>
  </si>
  <si>
    <t xml:space="preserve">C-128</t>
  </si>
  <si>
    <t xml:space="preserve">2100131965</t>
  </si>
  <si>
    <t xml:space="preserve">Chảo chiên Tefal So Matcha 20cm</t>
  </si>
  <si>
    <t xml:space="preserve">C-129</t>
  </si>
  <si>
    <t xml:space="preserve">2100132743</t>
  </si>
  <si>
    <t xml:space="preserve">Nồi Inox Tefal Optispace cao cấp</t>
  </si>
  <si>
    <t xml:space="preserve">C-130</t>
  </si>
  <si>
    <t xml:space="preserve">7211005447</t>
  </si>
  <si>
    <t xml:space="preserve">C-131</t>
  </si>
  <si>
    <t xml:space="preserve">7211005446</t>
  </si>
  <si>
    <t xml:space="preserve">C-132</t>
  </si>
  <si>
    <t xml:space="preserve">2100118304</t>
  </si>
  <si>
    <t xml:space="preserve">Chảo chiên Tefal Ultimate 20cm</t>
  </si>
  <si>
    <t xml:space="preserve">C-133</t>
  </si>
  <si>
    <t xml:space="preserve">7115900755</t>
  </si>
  <si>
    <t xml:space="preserve">C-134</t>
  </si>
  <si>
    <t xml:space="preserve">7115900944</t>
  </si>
  <si>
    <t xml:space="preserve">C-135</t>
  </si>
  <si>
    <t xml:space="preserve">2100139431</t>
  </si>
  <si>
    <t xml:space="preserve">Bộ 3 nồi chảo cán rời Tefal Inge</t>
  </si>
  <si>
    <t xml:space="preserve">C-136</t>
  </si>
  <si>
    <t xml:space="preserve">7212000261</t>
  </si>
  <si>
    <t xml:space="preserve">Nồi cơm điện /CFXB40FC33VN-75/Vi</t>
  </si>
  <si>
    <t xml:space="preserve">C-137</t>
  </si>
  <si>
    <t xml:space="preserve">7115900972</t>
  </si>
  <si>
    <t xml:space="preserve">Chảo sâu lòng Supor Star H23110-</t>
  </si>
  <si>
    <t xml:space="preserve">C-138</t>
  </si>
  <si>
    <t xml:space="preserve">2100125800</t>
  </si>
  <si>
    <t xml:space="preserve">Bộ nồi chảo Inox cao cấp Cook Ea</t>
  </si>
  <si>
    <t xml:space="preserve">C-139</t>
  </si>
  <si>
    <t xml:space="preserve">7115900919</t>
  </si>
  <si>
    <t xml:space="preserve">Chảo chiên TRENDY 26 cm, màu car</t>
  </si>
  <si>
    <t xml:space="preserve">C-140</t>
  </si>
  <si>
    <t xml:space="preserve">2100118302</t>
  </si>
  <si>
    <t xml:space="preserve">Chảo chiên Tefal Ultimate 24cm</t>
  </si>
  <si>
    <t xml:space="preserve">C-141</t>
  </si>
  <si>
    <t xml:space="preserve">2100121729</t>
  </si>
  <si>
    <t xml:space="preserve">C-142</t>
  </si>
  <si>
    <t xml:space="preserve">7211005279</t>
  </si>
  <si>
    <t xml:space="preserve">Nồi cơm điện tử Delirice RK7711Y</t>
  </si>
  <si>
    <t xml:space="preserve">C-143</t>
  </si>
  <si>
    <t xml:space="preserve">7115900948</t>
  </si>
  <si>
    <t xml:space="preserve">Nồi vân đá ROCK ART xanh 22cm, d</t>
  </si>
  <si>
    <t xml:space="preserve">C-144</t>
  </si>
  <si>
    <t xml:space="preserve">2100118301</t>
  </si>
  <si>
    <t xml:space="preserve">Chảo chiên sâu lồng Tefal Ultima</t>
  </si>
  <si>
    <t xml:space="preserve">C-145</t>
  </si>
  <si>
    <t xml:space="preserve">1510002077</t>
  </si>
  <si>
    <t xml:space="preserve">Nồi chiên không dầu Tefal 2in1 E</t>
  </si>
  <si>
    <t xml:space="preserve">C-146</t>
  </si>
  <si>
    <t xml:space="preserve">2100112231</t>
  </si>
  <si>
    <t xml:space="preserve">Nồi Tefal So Chef 22cm</t>
  </si>
  <si>
    <t xml:space="preserve">C-147</t>
  </si>
  <si>
    <t xml:space="preserve">1830008852</t>
  </si>
  <si>
    <t xml:space="preserve">Bàn ủi hơi nước cầm tay Pure Pop</t>
  </si>
  <si>
    <t xml:space="preserve">C-148</t>
  </si>
  <si>
    <t xml:space="preserve">7211003301</t>
  </si>
  <si>
    <t xml:space="preserve">Bếp điện từ SDHCB11TVN-YL-210</t>
  </si>
  <si>
    <t xml:space="preserve">C-149</t>
  </si>
  <si>
    <t xml:space="preserve">1830009220</t>
  </si>
  <si>
    <t xml:space="preserve">Bàn ủi 2-trong-1, kết hợp ủi hơi</t>
  </si>
  <si>
    <t xml:space="preserve">C-150</t>
  </si>
  <si>
    <t xml:space="preserve">7115900945</t>
  </si>
  <si>
    <t xml:space="preserve">C-151</t>
  </si>
  <si>
    <t xml:space="preserve">2100121620</t>
  </si>
  <si>
    <t xml:space="preserve">C-152</t>
  </si>
  <si>
    <t xml:space="preserve">1830007750</t>
  </si>
  <si>
    <t xml:space="preserve">Bàn ủi cầm tay Tefal - DT3030E0</t>
  </si>
  <si>
    <t xml:space="preserve">C-153</t>
  </si>
  <si>
    <t xml:space="preserve">2100118139</t>
  </si>
  <si>
    <t xml:space="preserve">Chảo chiên Tefal Ultimate 28cm</t>
  </si>
  <si>
    <t xml:space="preserve">C-154</t>
  </si>
  <si>
    <t xml:space="preserve">3100518440</t>
  </si>
  <si>
    <t xml:space="preserve">Hộp nhựa vuông Tefal Masterseal </t>
  </si>
  <si>
    <t xml:space="preserve">C-155</t>
  </si>
  <si>
    <t xml:space="preserve">3110600838</t>
  </si>
  <si>
    <t xml:space="preserve">C-156</t>
  </si>
  <si>
    <t xml:space="preserve">7211003293</t>
  </si>
  <si>
    <t xml:space="preserve">Nồi cơm điện IH Tefal RK604165</t>
  </si>
  <si>
    <t xml:space="preserve">C-157</t>
  </si>
  <si>
    <t xml:space="preserve">2100134676</t>
  </si>
  <si>
    <t xml:space="preserve">Dao chặt thép Đức liền khối Ice </t>
  </si>
  <si>
    <t xml:space="preserve">C-158</t>
  </si>
  <si>
    <t xml:space="preserve">2100118827</t>
  </si>
  <si>
    <t xml:space="preserve">Bộ nồi Tefal Primary 16/18/20cm</t>
  </si>
  <si>
    <t xml:space="preserve">C-159</t>
  </si>
  <si>
    <t xml:space="preserve">7115900937</t>
  </si>
  <si>
    <t xml:space="preserve">C-160</t>
  </si>
  <si>
    <t xml:space="preserve">2100131963</t>
  </si>
  <si>
    <t xml:space="preserve">Chảo xào Tefal So Matcha 30cm</t>
  </si>
  <si>
    <t xml:space="preserve">C-161</t>
  </si>
  <si>
    <t xml:space="preserve">3100518418</t>
  </si>
  <si>
    <t xml:space="preserve">Hộp nhựa tròn Tefal Masterseal F</t>
  </si>
  <si>
    <t xml:space="preserve">C-162</t>
  </si>
  <si>
    <t xml:space="preserve">2100136215</t>
  </si>
  <si>
    <t xml:space="preserve">C-163</t>
  </si>
  <si>
    <t xml:space="preserve">2100127800</t>
  </si>
  <si>
    <t xml:space="preserve">C-164</t>
  </si>
  <si>
    <t xml:space="preserve">2100131478</t>
  </si>
  <si>
    <t xml:space="preserve">C-165</t>
  </si>
  <si>
    <t xml:space="preserve">7211005459</t>
  </si>
  <si>
    <t xml:space="preserve">Nồi cơm điện tử Easy Pot Plus RK</t>
  </si>
  <si>
    <t xml:space="preserve">C-166</t>
  </si>
  <si>
    <t xml:space="preserve">2100110227</t>
  </si>
  <si>
    <t xml:space="preserve">Nồi chống dính Tefal Sensations </t>
  </si>
  <si>
    <t xml:space="preserve">C-167</t>
  </si>
  <si>
    <t xml:space="preserve">1830008018</t>
  </si>
  <si>
    <t xml:space="preserve">Bàn ủi hơi nước Tefal Smart Prot</t>
  </si>
  <si>
    <t xml:space="preserve">C-168</t>
  </si>
  <si>
    <t xml:space="preserve">8010001050</t>
  </si>
  <si>
    <t xml:space="preserve">Máy xay thực phẩm Tefal 3 trong </t>
  </si>
  <si>
    <t xml:space="preserve">C-169</t>
  </si>
  <si>
    <t xml:space="preserve">2100125810</t>
  </si>
  <si>
    <t xml:space="preserve">Bộ dao thép Đức 3 món liền khối </t>
  </si>
  <si>
    <t xml:space="preserve">C-170</t>
  </si>
  <si>
    <t xml:space="preserve">7115900932</t>
  </si>
  <si>
    <t xml:space="preserve">Nồi đúc vân đá xanh DuraRock 20c</t>
  </si>
  <si>
    <t xml:space="preserve">C-171</t>
  </si>
  <si>
    <t xml:space="preserve">2100121737</t>
  </si>
  <si>
    <t xml:space="preserve">Dao làm bếp Tefal Comfort K22132</t>
  </si>
  <si>
    <t xml:space="preserve">C-172</t>
  </si>
  <si>
    <t xml:space="preserve">4200008116</t>
  </si>
  <si>
    <t xml:space="preserve">Quạt treo ASIAvina  - VY357290 -</t>
  </si>
  <si>
    <t xml:space="preserve">C-173</t>
  </si>
  <si>
    <t xml:space="preserve">2100133030</t>
  </si>
  <si>
    <t xml:space="preserve">Bộ 2 nồi Inox cao cấp Tefal Cook</t>
  </si>
  <si>
    <t xml:space="preserve">C-174</t>
  </si>
  <si>
    <t xml:space="preserve">2100124435</t>
  </si>
  <si>
    <t xml:space="preserve">Quánh Inox cao cấp có nắp Tefal </t>
  </si>
  <si>
    <t xml:space="preserve">C-175</t>
  </si>
  <si>
    <t xml:space="preserve">4200009232</t>
  </si>
  <si>
    <t xml:space="preserve">Quạt đứng TEFAL Turbo Essential </t>
  </si>
  <si>
    <t xml:space="preserve">C-176</t>
  </si>
  <si>
    <t xml:space="preserve">7211004185</t>
  </si>
  <si>
    <t xml:space="preserve">Nồi cơm điện tử Tefal RK733168 -</t>
  </si>
  <si>
    <t xml:space="preserve">C-177</t>
  </si>
  <si>
    <t xml:space="preserve">7114000640</t>
  </si>
  <si>
    <t xml:space="preserve">Nồi áp suất Inox cao cấp Tefal S</t>
  </si>
  <si>
    <t xml:space="preserve">C-178</t>
  </si>
  <si>
    <t xml:space="preserve">3100518437</t>
  </si>
  <si>
    <t xml:space="preserve">C-179</t>
  </si>
  <si>
    <t xml:space="preserve">2100124956</t>
  </si>
  <si>
    <t xml:space="preserve">Chảo đúc cao cấp nướng, chiên Te</t>
  </si>
  <si>
    <t xml:space="preserve">C-180</t>
  </si>
  <si>
    <t xml:space="preserve">2100120185</t>
  </si>
  <si>
    <t xml:space="preserve">C-181</t>
  </si>
  <si>
    <t xml:space="preserve">2100127802</t>
  </si>
  <si>
    <t xml:space="preserve">C-182</t>
  </si>
  <si>
    <t xml:space="preserve">7211004028</t>
  </si>
  <si>
    <t xml:space="preserve">Máy ép chậm Tefal ZC600138</t>
  </si>
  <si>
    <t xml:space="preserve">C-183</t>
  </si>
  <si>
    <t xml:space="preserve">2100118303</t>
  </si>
  <si>
    <t xml:space="preserve">Chảo chiên Tefal Ultimate 26cm</t>
  </si>
  <si>
    <t xml:space="preserve">C-184</t>
  </si>
  <si>
    <t xml:space="preserve">2100110225</t>
  </si>
  <si>
    <t xml:space="preserve">C-185</t>
  </si>
  <si>
    <t xml:space="preserve">2100104354</t>
  </si>
  <si>
    <t xml:space="preserve">Dao đa năng Santoku thép Đức liề</t>
  </si>
  <si>
    <t xml:space="preserve">C-186</t>
  </si>
  <si>
    <t xml:space="preserve">2100118828</t>
  </si>
  <si>
    <t xml:space="preserve">Bộ nồi Tefal Primary 16/20/24cm</t>
  </si>
  <si>
    <t xml:space="preserve">C-187</t>
  </si>
  <si>
    <t xml:space="preserve">2100139604</t>
  </si>
  <si>
    <t xml:space="preserve">Bộ 5 nồi chảo 2 cán rời Tefal - </t>
  </si>
  <si>
    <t xml:space="preserve">C-188</t>
  </si>
  <si>
    <t xml:space="preserve">2100127883</t>
  </si>
  <si>
    <t xml:space="preserve">Bộ nồi chảo cán rời 3 món Ingeni</t>
  </si>
  <si>
    <t xml:space="preserve">C-189</t>
  </si>
  <si>
    <t xml:space="preserve">7115900929</t>
  </si>
  <si>
    <t xml:space="preserve">C-190</t>
  </si>
  <si>
    <t xml:space="preserve">2100136853</t>
  </si>
  <si>
    <t xml:space="preserve">C-191</t>
  </si>
  <si>
    <t xml:space="preserve">2100124470</t>
  </si>
  <si>
    <t xml:space="preserve">Chảo chống dính Inox cao cấp Coo</t>
  </si>
  <si>
    <t xml:space="preserve">C-192</t>
  </si>
  <si>
    <t xml:space="preserve">2100132581</t>
  </si>
  <si>
    <t xml:space="preserve">Bộ chảo 20cm, chảo sâu 28cm, nồi</t>
  </si>
  <si>
    <t xml:space="preserve">C-193</t>
  </si>
  <si>
    <t xml:space="preserve">7211005205</t>
  </si>
  <si>
    <t xml:space="preserve">Máy hút bụi không dây X-Force Fl</t>
  </si>
  <si>
    <t xml:space="preserve">C-194</t>
  </si>
  <si>
    <t xml:space="preserve">7211419726</t>
  </si>
  <si>
    <t xml:space="preserve">Nồi áp suất đa năng Tefal CY2116</t>
  </si>
  <si>
    <t xml:space="preserve">C-195</t>
  </si>
  <si>
    <t xml:space="preserve">7211004800</t>
  </si>
  <si>
    <t xml:space="preserve">Máy hút bụi không dây X-Nano TY1</t>
  </si>
  <si>
    <t xml:space="preserve">C-196</t>
  </si>
  <si>
    <t xml:space="preserve">2100124952</t>
  </si>
  <si>
    <t xml:space="preserve">Nồi đúc cao cấp Tefal Robusto có</t>
  </si>
  <si>
    <t xml:space="preserve">C-197</t>
  </si>
  <si>
    <t xml:space="preserve">7115900320</t>
  </si>
  <si>
    <t xml:space="preserve">Chảo chống dính Comfort F06A22-2</t>
  </si>
  <si>
    <t xml:space="preserve">C-198</t>
  </si>
  <si>
    <t xml:space="preserve">2100131480</t>
  </si>
  <si>
    <t xml:space="preserve">C-199</t>
  </si>
  <si>
    <t xml:space="preserve">1510002021</t>
  </si>
  <si>
    <t xml:space="preserve">Nồi chiên không dầu Tefal 3 tron</t>
  </si>
  <si>
    <t xml:space="preserve">C-200</t>
  </si>
  <si>
    <t xml:space="preserve">7211004935</t>
  </si>
  <si>
    <t xml:space="preserve">Máy húi bụi không dây X-force Fl</t>
  </si>
  <si>
    <t xml:space="preserve">C-201</t>
  </si>
  <si>
    <t xml:space="preserve">1510002236</t>
  </si>
  <si>
    <t xml:space="preserve">Máy vắt cam Tefal Vitapress ZP30</t>
  </si>
  <si>
    <t xml:space="preserve">C-202</t>
  </si>
  <si>
    <t xml:space="preserve">8010001306</t>
  </si>
  <si>
    <t xml:space="preserve">Máy xay sinh tố cá nhân Tefal Li</t>
  </si>
  <si>
    <t xml:space="preserve">C-203</t>
  </si>
  <si>
    <t xml:space="preserve">1510002673</t>
  </si>
  <si>
    <t xml:space="preserve">Nồi chiên không dầu Tefal Mega E</t>
  </si>
  <si>
    <t xml:space="preserve">C-204</t>
  </si>
  <si>
    <t xml:space="preserve">2100139669</t>
  </si>
  <si>
    <t xml:space="preserve">Bộ 3 nồi chảo cán rời Tefal - L8</t>
  </si>
  <si>
    <t xml:space="preserve">C-205</t>
  </si>
  <si>
    <t xml:space="preserve">3100518419</t>
  </si>
  <si>
    <t xml:space="preserve">C-206</t>
  </si>
  <si>
    <t xml:space="preserve">2100111897</t>
  </si>
  <si>
    <t xml:space="preserve">Chảo chiên sâu lồng Tefal Natura</t>
  </si>
  <si>
    <t xml:space="preserve">C-207</t>
  </si>
  <si>
    <t xml:space="preserve">1830008849</t>
  </si>
  <si>
    <t xml:space="preserve">C-208</t>
  </si>
  <si>
    <t xml:space="preserve">2100102198</t>
  </si>
  <si>
    <t xml:space="preserve">Muôi múc canh sâu lòng chịu nhiệ</t>
  </si>
  <si>
    <t xml:space="preserve">C-209</t>
  </si>
  <si>
    <t xml:space="preserve">1510002688</t>
  </si>
  <si>
    <t xml:space="preserve">C-210</t>
  </si>
  <si>
    <t xml:space="preserve">2100120058</t>
  </si>
  <si>
    <t xml:space="preserve">Nồi cán dài/ quánh Tefal Day By </t>
  </si>
  <si>
    <t xml:space="preserve">C-211</t>
  </si>
  <si>
    <t xml:space="preserve">2100113187</t>
  </si>
  <si>
    <t xml:space="preserve">Nồi Duetto Plus 28cm, 10.4L</t>
  </si>
  <si>
    <t xml:space="preserve">C-212</t>
  </si>
  <si>
    <t xml:space="preserve">2100122011</t>
  </si>
  <si>
    <t xml:space="preserve">Dao gọt trái cây phủ Titanium Te</t>
  </si>
  <si>
    <t xml:space="preserve">C-213</t>
  </si>
  <si>
    <t xml:space="preserve">2100121736</t>
  </si>
  <si>
    <t xml:space="preserve">Dao làm bếp Tefal Comfort K22131</t>
  </si>
  <si>
    <t xml:space="preserve">C-214</t>
  </si>
  <si>
    <t xml:space="preserve">8010001304</t>
  </si>
  <si>
    <t xml:space="preserve">Máy ép trái cây ZE370865 - 350W</t>
  </si>
  <si>
    <t xml:space="preserve">C-215</t>
  </si>
  <si>
    <t xml:space="preserve">2100132678</t>
  </si>
  <si>
    <t xml:space="preserve">Nồi hấp Inox cao cấp 18/10 Tefal</t>
  </si>
  <si>
    <t xml:space="preserve">C-216</t>
  </si>
  <si>
    <t xml:space="preserve">7115900875</t>
  </si>
  <si>
    <t xml:space="preserve">Chảo chống dính Comfort F06A24-2</t>
  </si>
  <si>
    <t xml:space="preserve">C-217</t>
  </si>
  <si>
    <t xml:space="preserve">7211004307</t>
  </si>
  <si>
    <t xml:space="preserve">Bình đun siêu tốc Tefal KI431D10</t>
  </si>
  <si>
    <t xml:space="preserve">C-218</t>
  </si>
  <si>
    <t xml:space="preserve">7115900933</t>
  </si>
  <si>
    <t xml:space="preserve">Nồi đúc vân đá xanh DuraRock 24c</t>
  </si>
  <si>
    <t xml:space="preserve">C-219</t>
  </si>
  <si>
    <t xml:space="preserve">2100104348</t>
  </si>
  <si>
    <t xml:space="preserve">Dao thái lát thép Đức liền khối </t>
  </si>
  <si>
    <t xml:space="preserve">C-220</t>
  </si>
  <si>
    <t xml:space="preserve">1830008693</t>
  </si>
  <si>
    <t xml:space="preserve">Bàn ủi hơi nước cầm tay DT7130E1</t>
  </si>
  <si>
    <t xml:space="preserve">C-221</t>
  </si>
  <si>
    <t xml:space="preserve">1830008199</t>
  </si>
  <si>
    <t xml:space="preserve">Bàn ủi hơi nước Tefal FV2867E0</t>
  </si>
  <si>
    <t xml:space="preserve">C-222</t>
  </si>
  <si>
    <t xml:space="preserve">4200009017</t>
  </si>
  <si>
    <t xml:space="preserve">C-223</t>
  </si>
  <si>
    <t xml:space="preserve">7211004311</t>
  </si>
  <si>
    <t xml:space="preserve">C-224</t>
  </si>
  <si>
    <t xml:space="preserve">4200009020</t>
  </si>
  <si>
    <t xml:space="preserve">C-225</t>
  </si>
  <si>
    <t xml:space="preserve">2100124953</t>
  </si>
  <si>
    <t xml:space="preserve">C-226</t>
  </si>
  <si>
    <t xml:space="preserve">2100139519</t>
  </si>
  <si>
    <t xml:space="preserve">C-227</t>
  </si>
  <si>
    <t xml:space="preserve">7211003246</t>
  </si>
  <si>
    <t xml:space="preserve">Máy ép chậm Tefal ZC420E38 - 150</t>
  </si>
  <si>
    <t xml:space="preserve">C-228</t>
  </si>
  <si>
    <t xml:space="preserve">7211004889</t>
  </si>
  <si>
    <t xml:space="preserve">C-229</t>
  </si>
  <si>
    <t xml:space="preserve">7212000245</t>
  </si>
  <si>
    <t xml:space="preserve">Nồi cơm điện Niêu CFXB50YB13VN-5</t>
  </si>
  <si>
    <t xml:space="preserve">C-230</t>
  </si>
  <si>
    <t xml:space="preserve">7115900886</t>
  </si>
  <si>
    <t xml:space="preserve">Chảo sâu lồng Supor Fresh IH - m</t>
  </si>
  <si>
    <t xml:space="preserve">C-231</t>
  </si>
  <si>
    <t xml:space="preserve">4200008264</t>
  </si>
  <si>
    <t xml:space="preserve">C-232</t>
  </si>
  <si>
    <t xml:space="preserve">2100136855</t>
  </si>
  <si>
    <t xml:space="preserve">C-233</t>
  </si>
  <si>
    <t xml:space="preserve">1830009180</t>
  </si>
  <si>
    <t xml:space="preserve">Bàn ủi khô TEFAL FS3110L0</t>
  </si>
  <si>
    <t xml:space="preserve">C-234</t>
  </si>
  <si>
    <t xml:space="preserve">2100131504</t>
  </si>
  <si>
    <t xml:space="preserve">Bộ dao kéo thép Đức 7 món và kệ </t>
  </si>
  <si>
    <t xml:space="preserve">C-235</t>
  </si>
  <si>
    <t xml:space="preserve">1830008851</t>
  </si>
  <si>
    <t xml:space="preserve">C-236</t>
  </si>
  <si>
    <t xml:space="preserve">7115900936</t>
  </si>
  <si>
    <t xml:space="preserve">Chảo cao cấp vân đá trắng Rock M</t>
  </si>
  <si>
    <t xml:space="preserve">C-237</t>
  </si>
  <si>
    <t xml:space="preserve">7115900920</t>
  </si>
  <si>
    <t xml:space="preserve">Chảo xào TRENDY 26 cm, màu carro</t>
  </si>
  <si>
    <t xml:space="preserve">C-238</t>
  </si>
  <si>
    <t xml:space="preserve">2100110226</t>
  </si>
  <si>
    <t xml:space="preserve">C-239</t>
  </si>
  <si>
    <t xml:space="preserve">1830008955</t>
  </si>
  <si>
    <t xml:space="preserve">Bàn ủi hơi nước Tefal FV1054L0</t>
  </si>
  <si>
    <t xml:space="preserve">C-240</t>
  </si>
  <si>
    <t xml:space="preserve">7211004825</t>
  </si>
  <si>
    <t xml:space="preserve">C-241</t>
  </si>
  <si>
    <t xml:space="preserve">2100115594</t>
  </si>
  <si>
    <t xml:space="preserve">Chảo chiên Tefal Unlimited 20cm</t>
  </si>
  <si>
    <t xml:space="preserve">C-242</t>
  </si>
  <si>
    <t xml:space="preserve">1830007584</t>
  </si>
  <si>
    <t xml:space="preserve">Bàn ủi hơi nước Tefal - FV5737E0</t>
  </si>
  <si>
    <t xml:space="preserve">C-243</t>
  </si>
  <si>
    <t xml:space="preserve">2100122010</t>
  </si>
  <si>
    <t xml:space="preserve">Dao làm bếp phủ Titanium Tefal F</t>
  </si>
  <si>
    <t xml:space="preserve">C-244</t>
  </si>
  <si>
    <t xml:space="preserve">2100125477</t>
  </si>
  <si>
    <t xml:space="preserve">Bộ dao thép Đức 2 món liền khối </t>
  </si>
  <si>
    <t xml:space="preserve">C-245</t>
  </si>
  <si>
    <t xml:space="preserve">7211419765</t>
  </si>
  <si>
    <t xml:space="preserve">Nồi chiên không dầu Tefal Window</t>
  </si>
  <si>
    <t xml:space="preserve">C-246</t>
  </si>
  <si>
    <t xml:space="preserve">2100112290</t>
  </si>
  <si>
    <t xml:space="preserve">Chảo chiên Tefal Unlimited G2550</t>
  </si>
  <si>
    <t xml:space="preserve">C-247</t>
  </si>
  <si>
    <t xml:space="preserve">4200008369</t>
  </si>
  <si>
    <t xml:space="preserve">Quạt treo ASIAVINA Turbo One VY6</t>
  </si>
  <si>
    <t xml:space="preserve">C-248</t>
  </si>
  <si>
    <t xml:space="preserve">4200008236</t>
  </si>
  <si>
    <t xml:space="preserve">Quạt lửng ASIAVINA Turbo One VY6</t>
  </si>
  <si>
    <t xml:space="preserve">C-249</t>
  </si>
  <si>
    <t xml:space="preserve">2100139708</t>
  </si>
  <si>
    <t xml:space="preserve">C-250</t>
  </si>
  <si>
    <t xml:space="preserve">7115900323</t>
  </si>
  <si>
    <t xml:space="preserve">Chảo chống dính Comfort F06A28-2</t>
  </si>
  <si>
    <t xml:space="preserve">C-251</t>
  </si>
  <si>
    <t xml:space="preserve">7115900940</t>
  </si>
  <si>
    <t xml:space="preserve">C-252</t>
  </si>
  <si>
    <t xml:space="preserve">1830006980</t>
  </si>
  <si>
    <t xml:space="preserve">Bàn ủi hơi nước đứng Tefal - IT3</t>
  </si>
  <si>
    <t xml:space="preserve">C-253</t>
  </si>
  <si>
    <t xml:space="preserve">3100518439</t>
  </si>
  <si>
    <t xml:space="preserve">C-254</t>
  </si>
  <si>
    <t xml:space="preserve">7211003215</t>
  </si>
  <si>
    <t xml:space="preserve">Nồi cơm điện CFXB50YB13VN-RD-50</t>
  </si>
  <si>
    <t xml:space="preserve">C-255</t>
  </si>
  <si>
    <t xml:space="preserve">7115900925</t>
  </si>
  <si>
    <t xml:space="preserve">Chảo đúc vân đá xanh DuraRock 20</t>
  </si>
  <si>
    <t xml:space="preserve">C-256</t>
  </si>
  <si>
    <t xml:space="preserve">2100120187</t>
  </si>
  <si>
    <t xml:space="preserve">Chảo xào Tefal Day By Day 28cm</t>
  </si>
  <si>
    <t xml:space="preserve">C-257</t>
  </si>
  <si>
    <t xml:space="preserve">7211003360</t>
  </si>
  <si>
    <t xml:space="preserve">Máy xay sinh tố Tefal BlendForce</t>
  </si>
  <si>
    <t xml:space="preserve">C-258</t>
  </si>
  <si>
    <t xml:space="preserve">2100113186</t>
  </si>
  <si>
    <t xml:space="preserve">Nồi Duetto Plus 22cm, 6L</t>
  </si>
  <si>
    <t xml:space="preserve">C-259</t>
  </si>
  <si>
    <t xml:space="preserve">7211004214</t>
  </si>
  <si>
    <t xml:space="preserve">Nồi cơm điện cơ Tefal RK361168 -</t>
  </si>
  <si>
    <t xml:space="preserve">C-260</t>
  </si>
  <si>
    <t xml:space="preserve">7211003259</t>
  </si>
  <si>
    <t xml:space="preserve">Máy xay sinh tố Tefal BL985A31 -</t>
  </si>
  <si>
    <t xml:space="preserve">C-261</t>
  </si>
  <si>
    <t xml:space="preserve">2100112281</t>
  </si>
  <si>
    <t xml:space="preserve">Nồi cán dài/ quánh Tefal Unlimit</t>
  </si>
  <si>
    <t xml:space="preserve">C-262</t>
  </si>
  <si>
    <t xml:space="preserve">2100114152</t>
  </si>
  <si>
    <t xml:space="preserve">Nồi inox Simpleo 20cm</t>
  </si>
  <si>
    <t xml:space="preserve">C-263</t>
  </si>
  <si>
    <t xml:space="preserve">7114000560</t>
  </si>
  <si>
    <t xml:space="preserve">Nồi áp suất cơ inox Tefal Secure</t>
  </si>
  <si>
    <t xml:space="preserve">C-264</t>
  </si>
  <si>
    <t xml:space="preserve">2100102197</t>
  </si>
  <si>
    <t xml:space="preserve">Muỗng canh Tefal Comfort K129011</t>
  </si>
  <si>
    <t xml:space="preserve">C-265</t>
  </si>
  <si>
    <t xml:space="preserve">2100132742</t>
  </si>
  <si>
    <t xml:space="preserve">C-266</t>
  </si>
  <si>
    <t xml:space="preserve">2100126395</t>
  </si>
  <si>
    <t xml:space="preserve">Nồi cán dài/ quánh Tefal Only Co</t>
  </si>
  <si>
    <t xml:space="preserve">C-267</t>
  </si>
  <si>
    <t xml:space="preserve">2100125863</t>
  </si>
  <si>
    <t xml:space="preserve">Chảo chiên chống dính vân đá cao</t>
  </si>
  <si>
    <t xml:space="preserve">C-268</t>
  </si>
  <si>
    <t xml:space="preserve">2027437120</t>
  </si>
  <si>
    <t xml:space="preserve">C-269</t>
  </si>
  <si>
    <t xml:space="preserve">2100120060</t>
  </si>
  <si>
    <t xml:space="preserve">Nồi thân cao Tefal Day By Day 22</t>
  </si>
  <si>
    <t xml:space="preserve">C-270</t>
  </si>
  <si>
    <t xml:space="preserve">4200008100</t>
  </si>
  <si>
    <t xml:space="preserve">Quạt đứng ASIAVINA Turbo One VY6</t>
  </si>
  <si>
    <t xml:space="preserve">C-271</t>
  </si>
  <si>
    <t xml:space="preserve">2100131479</t>
  </si>
  <si>
    <t xml:space="preserve">C-272</t>
  </si>
  <si>
    <t xml:space="preserve">2100131958</t>
  </si>
  <si>
    <t xml:space="preserve">Bộ 2 nồi cán dài &amp; chảo xào Tefa</t>
  </si>
  <si>
    <t xml:space="preserve">C-273</t>
  </si>
  <si>
    <t xml:space="preserve">1510002069</t>
  </si>
  <si>
    <t xml:space="preserve">C-274</t>
  </si>
  <si>
    <t xml:space="preserve">2100114761</t>
  </si>
  <si>
    <t xml:space="preserve">Nồi cán dài/ quánh Tefal Dutteto</t>
  </si>
  <si>
    <t xml:space="preserve">C-275</t>
  </si>
  <si>
    <t xml:space="preserve">7211004776</t>
  </si>
  <si>
    <t xml:space="preserve">C-276</t>
  </si>
  <si>
    <t xml:space="preserve">2100125396</t>
  </si>
  <si>
    <t xml:space="preserve">Bộ 5 nồi chảo cán rời Tefal Inge</t>
  </si>
  <si>
    <t xml:space="preserve">C-277</t>
  </si>
  <si>
    <t xml:space="preserve">7211419479</t>
  </si>
  <si>
    <t xml:space="preserve">C-278</t>
  </si>
  <si>
    <t xml:space="preserve">7212000239</t>
  </si>
  <si>
    <t xml:space="preserve">Bình đun siêu tốc hai lớp SWF15S</t>
  </si>
  <si>
    <t xml:space="preserve">C-279</t>
  </si>
  <si>
    <t xml:space="preserve">7211004496</t>
  </si>
  <si>
    <t xml:space="preserve">Nồi áp suất Tefal Smart Pro IH M</t>
  </si>
  <si>
    <t xml:space="preserve">C-280</t>
  </si>
  <si>
    <t xml:space="preserve">2100116143</t>
  </si>
  <si>
    <t xml:space="preserve">Bộ chảo Tefal Cook Healthy 2pcs </t>
  </si>
  <si>
    <t xml:space="preserve">C-281</t>
  </si>
  <si>
    <t xml:space="preserve">2100110229</t>
  </si>
  <si>
    <t xml:space="preserve">Chảo chiên Tefal Sensations 24 c</t>
  </si>
  <si>
    <t xml:space="preserve">C-282</t>
  </si>
  <si>
    <t xml:space="preserve">3100518438</t>
  </si>
  <si>
    <t xml:space="preserve">C-283</t>
  </si>
  <si>
    <t xml:space="preserve">1830008850</t>
  </si>
  <si>
    <t xml:space="preserve">C-284</t>
  </si>
  <si>
    <t xml:space="preserve">7115900931</t>
  </si>
  <si>
    <t xml:space="preserve">Nồi đúc vân đá xanh DuraRock 18c</t>
  </si>
  <si>
    <t xml:space="preserve">C-285</t>
  </si>
  <si>
    <t xml:space="preserve">7115900915</t>
  </si>
  <si>
    <t xml:space="preserve">Nồi TRENDY 18 cm, màu carrot</t>
  </si>
  <si>
    <t xml:space="preserve">C-286</t>
  </si>
  <si>
    <t xml:space="preserve">7212000240</t>
  </si>
  <si>
    <t xml:space="preserve">Ấm điện/SWF17S18AVN/VN/</t>
  </si>
  <si>
    <t xml:space="preserve">C-287</t>
  </si>
  <si>
    <t xml:space="preserve">2100121741</t>
  </si>
  <si>
    <t xml:space="preserve">Dao thái thịt Tefal Comfort K221</t>
  </si>
  <si>
    <t xml:space="preserve">C-288</t>
  </si>
  <si>
    <t xml:space="preserve">4100000801</t>
  </si>
  <si>
    <t xml:space="preserve">Quạt đứng - Tefal - VF3110Y1 - đ</t>
  </si>
  <si>
    <t xml:space="preserve">C-289</t>
  </si>
  <si>
    <t xml:space="preserve">2100123087</t>
  </si>
  <si>
    <t xml:space="preserve">Chảo chiên Tefal Light &amp; Clean 2</t>
  </si>
  <si>
    <t xml:space="preserve">C-290</t>
  </si>
  <si>
    <t xml:space="preserve">2100124433</t>
  </si>
  <si>
    <t xml:space="preserve">Bộ 3 nồi Inox cao cấp Tefal Cook</t>
  </si>
  <si>
    <t xml:space="preserve">C-291</t>
  </si>
  <si>
    <t xml:space="preserve">4200008267</t>
  </si>
  <si>
    <t xml:space="preserve">QUẠT TREO TURBO VY617790</t>
  </si>
  <si>
    <t xml:space="preserve">C-292</t>
  </si>
  <si>
    <t xml:space="preserve">2100110228</t>
  </si>
  <si>
    <t xml:space="preserve">Chảo chiên sâu lòng Tefal Sensat</t>
  </si>
  <si>
    <t xml:space="preserve">C-293</t>
  </si>
  <si>
    <t xml:space="preserve">2100119885</t>
  </si>
  <si>
    <t xml:space="preserve">Bộ dao thép Đức 4 món K2324S74, </t>
  </si>
  <si>
    <t xml:space="preserve">C-294</t>
  </si>
  <si>
    <t xml:space="preserve">7211005393</t>
  </si>
  <si>
    <t xml:space="preserve">Máy hút bụi lau sàn không dây Te</t>
  </si>
  <si>
    <t xml:space="preserve">C-295</t>
  </si>
  <si>
    <t xml:space="preserve">1830009016</t>
  </si>
  <si>
    <t xml:space="preserve">Bàn ủi hơi nước đứng Tefal IT348</t>
  </si>
  <si>
    <t xml:space="preserve">C-296</t>
  </si>
  <si>
    <t xml:space="preserve">8010000564</t>
  </si>
  <si>
    <t xml:space="preserve">C-297</t>
  </si>
  <si>
    <t xml:space="preserve">2100131823</t>
  </si>
  <si>
    <t xml:space="preserve">Nồi Inox liền khối Tefal Starter</t>
  </si>
  <si>
    <t xml:space="preserve">C-298</t>
  </si>
  <si>
    <t xml:space="preserve">2100111898</t>
  </si>
  <si>
    <t xml:space="preserve">C-299</t>
  </si>
  <si>
    <t xml:space="preserve">2100127801</t>
  </si>
  <si>
    <t xml:space="preserve">C-300</t>
  </si>
  <si>
    <t xml:space="preserve">7211005278</t>
  </si>
  <si>
    <t xml:space="preserve">Nồi cơm điện tử Delirice Max RK7</t>
  </si>
  <si>
    <t xml:space="preserve">C-301</t>
  </si>
  <si>
    <t xml:space="preserve">7115900953</t>
  </si>
  <si>
    <t xml:space="preserve">Nồi vân đá ROCK ART xanh 26cm, d</t>
  </si>
  <si>
    <t xml:space="preserve">C-302</t>
  </si>
  <si>
    <t xml:space="preserve">3100518436</t>
  </si>
  <si>
    <t xml:space="preserve">C-303</t>
  </si>
  <si>
    <t xml:space="preserve">7115900877</t>
  </si>
  <si>
    <t xml:space="preserve">Chảo chống dính Comfort F06A30-3</t>
  </si>
  <si>
    <t xml:space="preserve">C-304</t>
  </si>
  <si>
    <t xml:space="preserve">7211419374</t>
  </si>
  <si>
    <t xml:space="preserve">C-305</t>
  </si>
  <si>
    <t xml:space="preserve">7115900942</t>
  </si>
  <si>
    <t xml:space="preserve">C-306</t>
  </si>
  <si>
    <t xml:space="preserve">2100120186</t>
  </si>
  <si>
    <t xml:space="preserve">Chảo xào Tefal Day By Day 26cm</t>
  </si>
  <si>
    <t xml:space="preserve">C-307</t>
  </si>
  <si>
    <t xml:space="preserve">7115900950</t>
  </si>
  <si>
    <t xml:space="preserve">Chảo vân đá ROCK ART xanh 26cm, </t>
  </si>
  <si>
    <t xml:space="preserve">C-308</t>
  </si>
  <si>
    <t xml:space="preserve">1830007574</t>
  </si>
  <si>
    <t xml:space="preserve">Bàn ủi hơi nước Tefal - FV5717E0</t>
  </si>
  <si>
    <t xml:space="preserve">C-309</t>
  </si>
  <si>
    <t xml:space="preserve">2100104352</t>
  </si>
  <si>
    <t xml:space="preserve">Dao đầu bếp thép Đức liền khối I</t>
  </si>
  <si>
    <t xml:space="preserve">C-310</t>
  </si>
  <si>
    <t xml:space="preserve">2100110230</t>
  </si>
  <si>
    <t xml:space="preserve">Chảo chiên Tefal Sensations 26 c</t>
  </si>
  <si>
    <t xml:space="preserve">C-311</t>
  </si>
  <si>
    <t xml:space="preserve">7212000246</t>
  </si>
  <si>
    <t xml:space="preserve">Nồi áp suất điện thông minh Niêu</t>
  </si>
  <si>
    <t xml:space="preserve">C-312</t>
  </si>
  <si>
    <t xml:space="preserve">7114900002</t>
  </si>
  <si>
    <t xml:space="preserve">Nồi áp suất  hai tay cầm oxy hóa</t>
  </si>
  <si>
    <t xml:space="preserve">C-313</t>
  </si>
  <si>
    <t xml:space="preserve">7211003692</t>
  </si>
  <si>
    <t xml:space="preserve">Máy xay sinh tố Tefal - BL42S166</t>
  </si>
  <si>
    <t xml:space="preserve">C-314</t>
  </si>
  <si>
    <t xml:space="preserve">2100119880</t>
  </si>
  <si>
    <t xml:space="preserve">C-315</t>
  </si>
  <si>
    <t xml:space="preserve">2100114151</t>
  </si>
  <si>
    <t xml:space="preserve">Quánh inox Simpleo 18cm</t>
  </si>
  <si>
    <t xml:space="preserve">C-316</t>
  </si>
  <si>
    <t xml:space="preserve">2100113162</t>
  </si>
  <si>
    <t xml:space="preserve">Bộ 3 nồi Tefal Duetto Plus(Quánh</t>
  </si>
  <si>
    <t xml:space="preserve">C-317</t>
  </si>
  <si>
    <t xml:space="preserve">7114000489</t>
  </si>
  <si>
    <t xml:space="preserve">C-318</t>
  </si>
  <si>
    <t xml:space="preserve">2100113152</t>
  </si>
  <si>
    <t xml:space="preserve">Nồi Tefal Duetto Plus 24cm, 4.9L</t>
  </si>
  <si>
    <t xml:space="preserve">C-319</t>
  </si>
  <si>
    <t xml:space="preserve">7114000638</t>
  </si>
  <si>
    <t xml:space="preserve">C-320</t>
  </si>
  <si>
    <t xml:space="preserve">1510001871</t>
  </si>
  <si>
    <t xml:space="preserve">Bình đun siêu tốc Tefal KI772D38</t>
  </si>
  <si>
    <t xml:space="preserve">C-321</t>
  </si>
  <si>
    <t xml:space="preserve">2100120184</t>
  </si>
  <si>
    <t xml:space="preserve">Nồi Tefal Day By Day 20cm</t>
  </si>
  <si>
    <t xml:space="preserve">C-322</t>
  </si>
  <si>
    <t xml:space="preserve">2211401354</t>
  </si>
  <si>
    <t xml:space="preserve">C-323</t>
  </si>
  <si>
    <t xml:space="preserve">2100102204</t>
  </si>
  <si>
    <t xml:space="preserve">Kẹp gắp thực phẩm Inox Tefal Com</t>
  </si>
  <si>
    <t xml:space="preserve">C-324</t>
  </si>
  <si>
    <t xml:space="preserve">7211003278</t>
  </si>
  <si>
    <t xml:space="preserve">Nồi cơm điện - CFXB50YB19VN-GR-5</t>
  </si>
  <si>
    <t xml:space="preserve">C-325</t>
  </si>
  <si>
    <t xml:space="preserve">2100125859</t>
  </si>
  <si>
    <t xml:space="preserve">C-326</t>
  </si>
  <si>
    <t xml:space="preserve">2100110589</t>
  </si>
  <si>
    <t xml:space="preserve">Bộ dao thép Đức 5 món và kệ dao </t>
  </si>
  <si>
    <t xml:space="preserve">C-327</t>
  </si>
  <si>
    <t xml:space="preserve">1830008904</t>
  </si>
  <si>
    <t xml:space="preserve">Bàn ủi hơi nước cao cấp TEFAL Ul</t>
  </si>
  <si>
    <t xml:space="preserve">C-328</t>
  </si>
  <si>
    <t xml:space="preserve">2100121738</t>
  </si>
  <si>
    <t xml:space="preserve">Dao làm bếp Tefal Comfort K22139</t>
  </si>
  <si>
    <t xml:space="preserve">C-329</t>
  </si>
  <si>
    <t xml:space="preserve">2100124408</t>
  </si>
  <si>
    <t xml:space="preserve">Cây đánh trứng nhựa cầm tay Tefa</t>
  </si>
  <si>
    <t xml:space="preserve">C-330</t>
  </si>
  <si>
    <t xml:space="preserve">2100121739</t>
  </si>
  <si>
    <t xml:space="preserve">Dao làm bếp Santoku Tefal Comfor</t>
  </si>
  <si>
    <t xml:space="preserve">C-331</t>
  </si>
  <si>
    <t xml:space="preserve">2100137895</t>
  </si>
  <si>
    <t xml:space="preserve">Nồi cán dài chống dính Tefal Fla</t>
  </si>
  <si>
    <t xml:space="preserve">C-332</t>
  </si>
  <si>
    <t xml:space="preserve">2100091939</t>
  </si>
  <si>
    <t xml:space="preserve">Dụng cụ mài dao bằng thép không </t>
  </si>
  <si>
    <t xml:space="preserve">n/a</t>
  </si>
  <si>
    <t xml:space="preserve">C-333</t>
  </si>
  <si>
    <t xml:space="preserve">4200009238</t>
  </si>
  <si>
    <t xml:space="preserve">C-334</t>
  </si>
  <si>
    <t xml:space="preserve">4200006855</t>
  </si>
  <si>
    <t xml:space="preserve">Quạt lửng ASIAvina - A16018-XV0 </t>
  </si>
  <si>
    <t xml:space="preserve">C-335</t>
  </si>
  <si>
    <t xml:space="preserve">2100127807</t>
  </si>
  <si>
    <t xml:space="preserve">Bộ nồi chảo cán rời 6 món Tefal </t>
  </si>
  <si>
    <t xml:space="preserve">C-336</t>
  </si>
  <si>
    <t xml:space="preserve">4200000309</t>
  </si>
  <si>
    <t xml:space="preserve">Quạt hộp ASIAvina - F12001-LV1 -</t>
  </si>
  <si>
    <t xml:space="preserve">C-337</t>
  </si>
  <si>
    <t xml:space="preserve">4200000030</t>
  </si>
  <si>
    <t xml:space="preserve">Quạt bàn ASIAvina - B12001-EV0 -</t>
  </si>
  <si>
    <t xml:space="preserve">C-338</t>
  </si>
  <si>
    <t xml:space="preserve">1830008265</t>
  </si>
  <si>
    <t xml:space="preserve">Bàn ủi hơi nước Tefal GV9820E0</t>
  </si>
  <si>
    <t xml:space="preserve">C-339</t>
  </si>
  <si>
    <t xml:space="preserve">4200007356</t>
  </si>
  <si>
    <t xml:space="preserve">Quat dung ASIAvina -DTB1601 - Xa</t>
  </si>
  <si>
    <t xml:space="preserve">C-340</t>
  </si>
  <si>
    <t xml:space="preserve">2100110231</t>
  </si>
  <si>
    <t xml:space="preserve">Chảo chiên Tefal Sensations 28 c</t>
  </si>
  <si>
    <t xml:space="preserve">C-341</t>
  </si>
  <si>
    <t xml:space="preserve">4200007832</t>
  </si>
  <si>
    <t xml:space="preserve">Quạt đứng ASIAvina - D18001-DZ0 </t>
  </si>
  <si>
    <t xml:space="preserve">C-342</t>
  </si>
  <si>
    <t xml:space="preserve">2100122009</t>
  </si>
  <si>
    <t xml:space="preserve">Dao gọt trái cây Tefal Fresh Kit</t>
  </si>
  <si>
    <t xml:space="preserve">C-343</t>
  </si>
  <si>
    <t xml:space="preserve">2100111899</t>
  </si>
  <si>
    <t xml:space="preserve">C-344</t>
  </si>
  <si>
    <t xml:space="preserve">3110600773</t>
  </si>
  <si>
    <t xml:space="preserve">Hộp thủy tinh vuông Tefal Master</t>
  </si>
  <si>
    <t xml:space="preserve">C-345</t>
  </si>
  <si>
    <t xml:space="preserve">7115900930</t>
  </si>
  <si>
    <t xml:space="preserve">Chảo đúc vân đá xanh DuraRock 28</t>
  </si>
  <si>
    <t xml:space="preserve">C-346</t>
  </si>
  <si>
    <t xml:space="preserve">1510001937</t>
  </si>
  <si>
    <t xml:space="preserve">Nồi hấp thực phẩm Tefal UltraCom</t>
  </si>
  <si>
    <t xml:space="preserve">C-347</t>
  </si>
  <si>
    <t xml:space="preserve">1830007763</t>
  </si>
  <si>
    <t xml:space="preserve">Bàn ủi hơi nước Tefal SV9201E0</t>
  </si>
  <si>
    <t xml:space="preserve">C-348</t>
  </si>
  <si>
    <t xml:space="preserve">7211004052</t>
  </si>
  <si>
    <t xml:space="preserve">Máy xay sinh tố cầm tay Tefal HB</t>
  </si>
  <si>
    <t xml:space="preserve">C-349</t>
  </si>
  <si>
    <t xml:space="preserve">7115900934</t>
  </si>
  <si>
    <t xml:space="preserve">C-350</t>
  </si>
  <si>
    <t xml:space="preserve">2100119195</t>
  </si>
  <si>
    <t xml:space="preserve">Dao làm bếp tích hợp dụng cụ mài</t>
  </si>
  <si>
    <t xml:space="preserve">C-351</t>
  </si>
  <si>
    <t xml:space="preserve">2100121759</t>
  </si>
  <si>
    <t xml:space="preserve">Bộ dao Tefal Comfort K221S244 15</t>
  </si>
  <si>
    <t xml:space="preserve">C-352</t>
  </si>
  <si>
    <t xml:space="preserve">7115900876</t>
  </si>
  <si>
    <t xml:space="preserve">Chảo chống dính Comfort F06A26-2</t>
  </si>
  <si>
    <t xml:space="preserve">C-353</t>
  </si>
  <si>
    <t xml:space="preserve">1510002423</t>
  </si>
  <si>
    <t xml:space="preserve">C-354</t>
  </si>
  <si>
    <t xml:space="preserve">7211004194</t>
  </si>
  <si>
    <t xml:space="preserve">C-355</t>
  </si>
  <si>
    <t xml:space="preserve">7211004195</t>
  </si>
  <si>
    <t xml:space="preserve">Nồi cơm điện tử Tefal RK808168 -</t>
  </si>
  <si>
    <t xml:space="preserve">C-356</t>
  </si>
  <si>
    <t xml:space="preserve">7211004120</t>
  </si>
  <si>
    <t xml:space="preserve">Máy xay đa năng Tefal Double For</t>
  </si>
  <si>
    <t xml:space="preserve">C-357</t>
  </si>
  <si>
    <t xml:space="preserve">2100130060</t>
  </si>
  <si>
    <t xml:space="preserve">Nồi Inox chống dính công thái họ</t>
  </si>
  <si>
    <t xml:space="preserve">C-358</t>
  </si>
  <si>
    <t xml:space="preserve">1510002076</t>
  </si>
  <si>
    <t xml:space="preserve">C-359</t>
  </si>
  <si>
    <t xml:space="preserve">2100126397</t>
  </si>
  <si>
    <t xml:space="preserve">Chảo chiên sâu lòng Tefal Only C</t>
  </si>
  <si>
    <t xml:space="preserve">C-360</t>
  </si>
  <si>
    <t xml:space="preserve">7115900951</t>
  </si>
  <si>
    <t xml:space="preserve">Chảo xào, vân đá ROCK ART xanh 2</t>
  </si>
  <si>
    <t xml:space="preserve">C-361</t>
  </si>
  <si>
    <t xml:space="preserve">7115900031</t>
  </si>
  <si>
    <t xml:space="preserve">Chảo chống dính Mini PJ12C2-12cm</t>
  </si>
  <si>
    <t xml:space="preserve">C-362</t>
  </si>
  <si>
    <t xml:space="preserve">4200008241</t>
  </si>
  <si>
    <t xml:space="preserve">Quạt đứng Tefal - VH442790 - Xám</t>
  </si>
  <si>
    <t xml:space="preserve">C-363</t>
  </si>
  <si>
    <t xml:space="preserve">1510002075</t>
  </si>
  <si>
    <t xml:space="preserve">C-364</t>
  </si>
  <si>
    <t xml:space="preserve">8000035866</t>
  </si>
  <si>
    <t xml:space="preserve">Máy xay thực phẩm Tefal MB450B38</t>
  </si>
  <si>
    <t xml:space="preserve">C-365</t>
  </si>
  <si>
    <t xml:space="preserve">2100113153</t>
  </si>
  <si>
    <t xml:space="preserve">Nồi Tefal Duetto Plus 18cm, 1.9L</t>
  </si>
  <si>
    <t xml:space="preserve">C-366</t>
  </si>
  <si>
    <t xml:space="preserve">7115900704</t>
  </si>
  <si>
    <t xml:space="preserve">Nồi canh oxy hóa mềm Comfort-S30</t>
  </si>
  <si>
    <t xml:space="preserve">C-367</t>
  </si>
  <si>
    <t xml:space="preserve">7211005118</t>
  </si>
  <si>
    <t xml:space="preserve">C-368</t>
  </si>
  <si>
    <t xml:space="preserve">7211004987</t>
  </si>
  <si>
    <t xml:space="preserve">Máy xay sinh tố &amp; làm sữa hạt đa</t>
  </si>
  <si>
    <t xml:space="preserve">C-369</t>
  </si>
  <si>
    <t xml:space="preserve">1510001954</t>
  </si>
  <si>
    <t xml:space="preserve">C-370</t>
  </si>
  <si>
    <t xml:space="preserve">1830008419</t>
  </si>
  <si>
    <t xml:space="preserve">Bàn ủi hơi cầm tay Tefal Access </t>
  </si>
  <si>
    <t xml:space="preserve">C-371</t>
  </si>
  <si>
    <t xml:space="preserve">2100114153</t>
  </si>
  <si>
    <t xml:space="preserve">Nồi inox Simpleo 24cm</t>
  </si>
  <si>
    <t xml:space="preserve">C-372</t>
  </si>
  <si>
    <t xml:space="preserve">1830004028</t>
  </si>
  <si>
    <t xml:space="preserve">Bàn ủi hơi nước - TEFAL</t>
  </si>
  <si>
    <t xml:space="preserve">C-373</t>
  </si>
  <si>
    <t xml:space="preserve">4200000013</t>
  </si>
  <si>
    <t xml:space="preserve">Quạt lửng ASIAvina - A16007-EV0 </t>
  </si>
  <si>
    <t xml:space="preserve">C-374</t>
  </si>
  <si>
    <t xml:space="preserve">2100118202</t>
  </si>
  <si>
    <t xml:space="preserve">Chảo chiên Tefal Natural Force 2</t>
  </si>
  <si>
    <t xml:space="preserve">C-375</t>
  </si>
  <si>
    <t xml:space="preserve">2100107627</t>
  </si>
  <si>
    <t xml:space="preserve">Bộ dụng cụ làm bánh Tefal 3 món</t>
  </si>
  <si>
    <t xml:space="preserve">C-376</t>
  </si>
  <si>
    <t xml:space="preserve">2100089647</t>
  </si>
  <si>
    <t xml:space="preserve">Bộ dụng cụ bếp Tefal 5 món</t>
  </si>
  <si>
    <t xml:space="preserve">C-377</t>
  </si>
  <si>
    <t xml:space="preserve">7115900922</t>
  </si>
  <si>
    <t xml:space="preserve">Nồi TRENDY 26 cm, màu carrot</t>
  </si>
  <si>
    <t xml:space="preserve">C-378</t>
  </si>
  <si>
    <t xml:space="preserve">7115900927</t>
  </si>
  <si>
    <t xml:space="preserve">C-379</t>
  </si>
  <si>
    <t xml:space="preserve">2100122015</t>
  </si>
  <si>
    <t xml:space="preserve">Dao răng cưa chuyên dụng thái th</t>
  </si>
  <si>
    <t xml:space="preserve">C-380</t>
  </si>
  <si>
    <t xml:space="preserve">2100124946</t>
  </si>
  <si>
    <t xml:space="preserve">Nồi cán rời Tefal  Ingenio Unlim</t>
  </si>
  <si>
    <t xml:space="preserve">C-381</t>
  </si>
  <si>
    <t xml:space="preserve">4200007335</t>
  </si>
  <si>
    <t xml:space="preserve">Bộ 2 Chảo chiên, Chảo sâu lồng T</t>
  </si>
  <si>
    <t xml:space="preserve">C-382</t>
  </si>
  <si>
    <t xml:space="preserve">4200005352</t>
  </si>
  <si>
    <t xml:space="preserve">Quạt lửng ASIAvina - A16018-BV0 </t>
  </si>
  <si>
    <t xml:space="preserve">C-383</t>
  </si>
  <si>
    <t xml:space="preserve">4200000223</t>
  </si>
  <si>
    <t xml:space="preserve">Quạt bàn Tefal - VF3617O1 - Nâu</t>
  </si>
  <si>
    <t xml:space="preserve">C-384</t>
  </si>
  <si>
    <t xml:space="preserve">4200000016</t>
  </si>
  <si>
    <t xml:space="preserve">Quạt lửng ASIAvina - A16007-XV0 </t>
  </si>
  <si>
    <t xml:space="preserve">C-385</t>
  </si>
  <si>
    <t xml:space="preserve">2100136645</t>
  </si>
  <si>
    <t xml:space="preserve">Nồi đúc cao cấp tráng men Tefal </t>
  </si>
  <si>
    <t xml:space="preserve">C-386</t>
  </si>
  <si>
    <t xml:space="preserve">2211400867</t>
  </si>
  <si>
    <t xml:space="preserve">C-387</t>
  </si>
  <si>
    <t xml:space="preserve">3110600775</t>
  </si>
  <si>
    <t xml:space="preserve">Hộp thủy tinh vuông 2 ngăn Tefal</t>
  </si>
  <si>
    <t xml:space="preserve">C-388</t>
  </si>
  <si>
    <t xml:space="preserve">3110600774</t>
  </si>
  <si>
    <t xml:space="preserve">C-389</t>
  </si>
  <si>
    <t xml:space="preserve">2100131824</t>
  </si>
  <si>
    <t xml:space="preserve">Bộ 3 nồi Inox liền khối Tefal St</t>
  </si>
  <si>
    <t xml:space="preserve">C-390</t>
  </si>
  <si>
    <t xml:space="preserve">1830009469</t>
  </si>
  <si>
    <t xml:space="preserve">Máy lọc không khí Tefal air-pure</t>
  </si>
  <si>
    <t xml:space="preserve">C-391</t>
  </si>
  <si>
    <t xml:space="preserve">2100088986</t>
  </si>
  <si>
    <t xml:space="preserve">Nồi lẻ cán dài Tefal Expertise c</t>
  </si>
  <si>
    <t xml:space="preserve">C-392</t>
  </si>
  <si>
    <t xml:space="preserve">2211401312</t>
  </si>
  <si>
    <t xml:space="preserve">Robot hút bụi và lau nhà tự động</t>
  </si>
  <si>
    <t xml:space="preserve">C-393</t>
  </si>
  <si>
    <t xml:space="preserve">2211401176</t>
  </si>
  <si>
    <t xml:space="preserve">Máy hút bụi &amp; lau sàn không dây </t>
  </si>
  <si>
    <t xml:space="preserve">C-394</t>
  </si>
  <si>
    <t xml:space="preserve">2100134583</t>
  </si>
  <si>
    <t xml:space="preserve">Bộ 3 nồi chảo cán rời kèm 3 nắp </t>
  </si>
  <si>
    <t xml:space="preserve">C-395</t>
  </si>
  <si>
    <t xml:space="preserve">2027453120</t>
  </si>
  <si>
    <t xml:space="preserve">Kẹp gắp thực phẩm Tefal Bienvenu</t>
  </si>
  <si>
    <t xml:space="preserve">C-396</t>
  </si>
  <si>
    <t xml:space="preserve">2100125870</t>
  </si>
  <si>
    <t xml:space="preserve">Nồi chống dính vân đá cao cấp Te</t>
  </si>
  <si>
    <t xml:space="preserve">C-397</t>
  </si>
  <si>
    <t xml:space="preserve">1830008984</t>
  </si>
  <si>
    <t xml:space="preserve">Bàn ủi hơi nước cầm tay DT1020E1</t>
  </si>
  <si>
    <t xml:space="preserve">C-398</t>
  </si>
  <si>
    <t xml:space="preserve">1830009340</t>
  </si>
  <si>
    <t xml:space="preserve">Bàn ủi hơi nước cầm tay Tefal Or</t>
  </si>
  <si>
    <t xml:space="preserve">C-399</t>
  </si>
  <si>
    <t xml:space="preserve">2100112228</t>
  </si>
  <si>
    <t xml:space="preserve">Chảo chiên Tefal Cook Healthy 24</t>
  </si>
  <si>
    <t xml:space="preserve">C-400</t>
  </si>
  <si>
    <t xml:space="preserve">2100131820</t>
  </si>
  <si>
    <t xml:space="preserve">Quánh Inox liền khối có nắp Tefa</t>
  </si>
  <si>
    <t xml:space="preserve">C-401</t>
  </si>
  <si>
    <t xml:space="preserve">2100127489</t>
  </si>
  <si>
    <t xml:space="preserve">C-402</t>
  </si>
  <si>
    <t xml:space="preserve">2100104350</t>
  </si>
  <si>
    <t xml:space="preserve">Dao gọt trái cây Tefal Ice Force</t>
  </si>
  <si>
    <t xml:space="preserve">C-403</t>
  </si>
  <si>
    <t xml:space="preserve">1830009282</t>
  </si>
  <si>
    <t xml:space="preserve">Bàn ủi hơi nước  Tefal Virtuo Xá</t>
  </si>
  <si>
    <t xml:space="preserve">Q3.1 - U-SHAPED WAREHOUSE HEATMAP</t>
  </si>
  <si>
    <t xml:space="preserve">Receiving + packing on the same front side. Zone A (red, highest pick density) hugs packing at 8 m; B mid; C wraps the back/outer ring at 47.5 m. Travel -35.4% vs random.</t>
  </si>
  <si>
    <t xml:space="preserve">Q3.2 - OMNI-CHANNEL PICK-AND-PACK PROCESS</t>
  </si>
  <si>
    <t xml:space="preserve">Unified process for B2B (pallet/total picking) and B2C (batch + zone routing), with shared-stock conflict logic linked to the 2.2 inventory pooling strategy.</t>
  </si>
  <si>
    <t xml:space="preserve">A.  TWO PICK MODELS</t>
  </si>
  <si>
    <t xml:space="preserve">Channel</t>
  </si>
  <si>
    <t xml:space="preserve">Order profile</t>
  </si>
  <si>
    <t xml:space="preserve">Pick model</t>
  </si>
  <si>
    <t xml:space="preserve">Mechanics</t>
  </si>
  <si>
    <t xml:space="preserve">Pack</t>
  </si>
  <si>
    <t xml:space="preserve">B2B</t>
  </si>
  <si>
    <t xml:space="preserve">Large volume, few SKUs</t>
  </si>
  <si>
    <t xml:space="preserve">Pallet / Total Picking</t>
  </si>
  <si>
    <t xml:space="preserve">One picker fulfils whole pallets or large CTN qty per order in a single pass. Sources Zone A pick-face + Zone C bulk.</t>
  </si>
  <si>
    <t xml:space="preserve">Stage whole pallets; minimal re-sort.</t>
  </si>
  <si>
    <t xml:space="preserve">B2C / E-com</t>
  </si>
  <si>
    <t xml:space="preserve">Small qty, many SKUs, many concurrent orders</t>
  </si>
  <si>
    <t xml:space="preserve">Batch Picking + Zone Routing</t>
  </si>
  <si>
    <t xml:space="preserve">Group many small orders into one pick wave; pickers route by zone; items consolidated downstream.</t>
  </si>
  <si>
    <t xml:space="preserve">Sort the wave back to individual orders at packing.</t>
  </si>
  <si>
    <t xml:space="preserve">B.  SHARED-SKU CONFLICT — ALLOCATION &amp; ESCALATION RULES</t>
  </si>
  <si>
    <t xml:space="preserve">Scenario: the same SKU is ordered simultaneously by a B2B client and a B2C customer. Stock is held in ONE shared pool (per 2.2 pooling), not physically split.</t>
  </si>
  <si>
    <t xml:space="preserve">Rule</t>
  </si>
  <si>
    <t xml:space="preserve">Condition</t>
  </si>
  <si>
    <t xml:space="preserve">Action</t>
  </si>
  <si>
    <t xml:space="preserve">Check</t>
  </si>
  <si>
    <t xml:space="preserve">Same SKU, both channels, concurrent</t>
  </si>
  <si>
    <t xml:space="preserve">Evaluate on-hand vs (B2B + B2C) demand.</t>
  </si>
  <si>
    <t xml:space="preserve">Sufficient</t>
  </si>
  <si>
    <t xml:space="preserve">On-hand &gt;= B2B + B2C</t>
  </si>
  <si>
    <t xml:space="preserve">Allocate to both from shared pool; no rationing.</t>
  </si>
  <si>
    <t xml:space="preserve">R1</t>
  </si>
  <si>
    <t xml:space="preserve">Short stock</t>
  </si>
  <si>
    <t xml:space="preserve">Commit to the confirmed B2B PO first (contractual, penalty risk).</t>
  </si>
  <si>
    <t xml:space="preserve">R2</t>
  </si>
  <si>
    <t xml:space="preserve">Hold the B2C safety buffer so the storefront does not show stockout.</t>
  </si>
  <si>
    <t xml:space="preserve">R3</t>
  </si>
  <si>
    <t xml:space="preserve">Short + B2C SLA-critical (2-4h)</t>
  </si>
  <si>
    <t xml:space="preserve">Split: B2C SLA order gets partial now, backorder remainder.</t>
  </si>
  <si>
    <t xml:space="preserve">R4</t>
  </si>
  <si>
    <t xml:space="preserve">Below reorder point</t>
  </si>
  <si>
    <t xml:space="preserve">Trigger emergency replenishment / inter-warehouse transfer.</t>
  </si>
  <si>
    <t xml:space="preserve">C.  DECISION FLOWCHART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</si>
</sst>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  <font>
      <b val="true"/>
      <sz val="12"/>
      <color rgb="FF006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E4F2E4"/>
        <bgColor rgb="FFD9E6EC"/>
      </patternFill>
    </fill>
    <fill>
      <patternFill patternType="solid">
        <fgColor rgb="FFC6EFCE"/>
        <bgColor rgb="FFD9E6EC"/>
      </patternFill>
    </fill>
    <fill>
      <patternFill patternType="solid">
        <fgColor rgb="FFFBF3E0"/>
        <bgColor rgb="FFFBE9D5"/>
      </patternFill>
    </fill>
    <fill>
      <patternFill patternType="solid">
        <fgColor rgb="FFD9E6EC"/>
        <bgColor rgb="FFE4F2E4"/>
      </patternFill>
    </fill>
    <fill>
      <patternFill patternType="solid">
        <fgColor rgb="FFFBE9D5"/>
        <bgColor rgb="FFFB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F3E0"/>
      <rgbColor rgb="FFE4F2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6EC"/>
      <rgbColor rgb="FFC6EFCE"/>
      <rgbColor rgb="FFFBE9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176040</xdr:rowOff>
    </xdr:from>
    <xdr:to>
      <xdr:col>13</xdr:col>
      <xdr:colOff>431640</xdr:colOff>
      <xdr:row>21</xdr:row>
      <xdr:rowOff>32400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66640"/>
          <a:ext cx="8381160" cy="3475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46800</xdr:rowOff>
    </xdr:from>
    <xdr:to>
      <xdr:col>2</xdr:col>
      <xdr:colOff>2373480</xdr:colOff>
      <xdr:row>46</xdr:row>
      <xdr:rowOff>46800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3809880"/>
          <a:ext cx="5333760" cy="5333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6" min="6" style="1" width="42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72</v>
      </c>
      <c r="C5" s="7" t="s">
        <v>4</v>
      </c>
    </row>
    <row r="6" customFormat="false" ht="15" hidden="false" customHeight="true" outlineLevel="0" collapsed="false">
      <c r="A6" s="5" t="s">
        <v>5</v>
      </c>
      <c r="B6" s="6" t="n">
        <v>2</v>
      </c>
      <c r="C6" s="7" t="s">
        <v>6</v>
      </c>
    </row>
    <row r="7" customFormat="false" ht="15" hidden="false" customHeight="true" outlineLevel="0" collapsed="false">
      <c r="A7" s="5" t="s">
        <v>7</v>
      </c>
      <c r="B7" s="6" t="n">
        <v>8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25</v>
      </c>
      <c r="C8" s="7" t="s">
        <v>10</v>
      </c>
    </row>
    <row r="9" customFormat="false" ht="15" hidden="false" customHeight="true" outlineLevel="0" collapsed="false">
      <c r="A9" s="5" t="s">
        <v>11</v>
      </c>
      <c r="B9" s="6" t="n">
        <v>47.5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6" t="n">
        <v>4</v>
      </c>
      <c r="C10" s="7" t="s">
        <v>14</v>
      </c>
    </row>
    <row r="11" customFormat="false" ht="15" hidden="false" customHeight="true" outlineLevel="0" collapsed="false">
      <c r="A11" s="5" t="s">
        <v>15</v>
      </c>
      <c r="B11" s="6" t="n">
        <v>2.5</v>
      </c>
      <c r="C11" s="7" t="s">
        <v>16</v>
      </c>
    </row>
    <row r="12" customFormat="false" ht="15" hidden="false" customHeight="true" outlineLevel="0" collapsed="false">
      <c r="A12" s="5" t="s">
        <v>17</v>
      </c>
      <c r="B12" s="6" t="n">
        <v>2</v>
      </c>
      <c r="C12" s="7" t="s">
        <v>18</v>
      </c>
    </row>
    <row r="14" customFormat="false" ht="15" hidden="false" customHeight="true" outlineLevel="0" collapsed="false">
      <c r="A14" s="4" t="s">
        <v>19</v>
      </c>
    </row>
    <row r="15" customFormat="false" ht="23.25" hidden="false" customHeight="true" outlineLevel="0" collapsed="false">
      <c r="A15" s="8" t="s">
        <v>20</v>
      </c>
      <c r="B15" s="8" t="s">
        <v>21</v>
      </c>
      <c r="C15" s="8" t="s">
        <v>22</v>
      </c>
      <c r="D15" s="8" t="s">
        <v>23</v>
      </c>
      <c r="E15" s="8" t="s">
        <v>24</v>
      </c>
      <c r="F15" s="8" t="s">
        <v>25</v>
      </c>
      <c r="G15" s="8" t="s">
        <v>26</v>
      </c>
    </row>
    <row r="16" customFormat="false" ht="15" hidden="false" customHeight="true" outlineLevel="0" collapsed="false">
      <c r="A16" s="9" t="s">
        <v>27</v>
      </c>
      <c r="B16" s="10" t="s">
        <v>28</v>
      </c>
      <c r="C16" s="11" t="n">
        <v>28</v>
      </c>
      <c r="D16" s="11" t="n">
        <v>5767</v>
      </c>
      <c r="E16" s="10" t="s">
        <v>29</v>
      </c>
      <c r="F16" s="10" t="s">
        <v>30</v>
      </c>
      <c r="G16" s="11" t="n">
        <v>8</v>
      </c>
    </row>
    <row r="17" customFormat="false" ht="15" hidden="false" customHeight="true" outlineLevel="0" collapsed="false">
      <c r="A17" s="12" t="s">
        <v>31</v>
      </c>
      <c r="B17" s="13" t="s">
        <v>32</v>
      </c>
      <c r="C17" s="14" t="n">
        <v>39</v>
      </c>
      <c r="D17" s="14" t="n">
        <v>7945</v>
      </c>
      <c r="E17" s="13" t="s">
        <v>33</v>
      </c>
      <c r="F17" s="13" t="s">
        <v>34</v>
      </c>
      <c r="G17" s="14" t="n">
        <v>25</v>
      </c>
    </row>
    <row r="18" customFormat="false" ht="15" hidden="false" customHeight="true" outlineLevel="0" collapsed="false">
      <c r="A18" s="12" t="s">
        <v>35</v>
      </c>
      <c r="B18" s="13" t="s">
        <v>36</v>
      </c>
      <c r="C18" s="14" t="n">
        <v>403</v>
      </c>
      <c r="D18" s="14" t="n">
        <v>7082</v>
      </c>
      <c r="E18" s="13" t="s">
        <v>37</v>
      </c>
      <c r="F18" s="13" t="s">
        <v>38</v>
      </c>
      <c r="G18" s="14" t="n">
        <v>47.5</v>
      </c>
    </row>
    <row r="20" customFormat="false" ht="15" hidden="false" customHeight="true" outlineLevel="0" collapsed="false">
      <c r="A20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5" min="3" style="1" width="14"/>
  </cols>
  <sheetData>
    <row r="1" customFormat="false" ht="15.75" hidden="false" customHeight="true" outlineLevel="0" collapsed="false">
      <c r="A1" s="15" t="s">
        <v>40</v>
      </c>
    </row>
    <row r="2" customFormat="false" ht="15" hidden="false" customHeight="true" outlineLevel="0" collapsed="false">
      <c r="A2" s="3" t="s">
        <v>41</v>
      </c>
    </row>
    <row r="4" customFormat="false" ht="15" hidden="false" customHeight="true" outlineLevel="0" collapsed="false">
      <c r="A4" s="4" t="s">
        <v>42</v>
      </c>
    </row>
    <row r="5" customFormat="false" ht="34.5" hidden="false" customHeight="true" outlineLevel="0" collapsed="false">
      <c r="A5" s="8" t="s">
        <v>43</v>
      </c>
      <c r="B5" s="8" t="s">
        <v>44</v>
      </c>
      <c r="C5" s="8" t="s">
        <v>45</v>
      </c>
      <c r="D5" s="8" t="s">
        <v>46</v>
      </c>
    </row>
    <row r="6" customFormat="false" ht="15" hidden="false" customHeight="true" outlineLevel="0" collapsed="false">
      <c r="A6" s="13" t="s">
        <v>47</v>
      </c>
      <c r="B6" s="14" t="n">
        <v>5767</v>
      </c>
      <c r="C6" s="14" t="n">
        <f aca="false">'Q3.1 Slotting Design'!$B$7</f>
        <v>8</v>
      </c>
      <c r="D6" s="14" t="n">
        <f aca="false">B6*C6*'Q3.1 Slotting Design'!$B$6</f>
        <v>92272</v>
      </c>
    </row>
    <row r="7" customFormat="false" ht="15" hidden="false" customHeight="true" outlineLevel="0" collapsed="false">
      <c r="A7" s="13" t="s">
        <v>48</v>
      </c>
      <c r="B7" s="14" t="n">
        <v>7945</v>
      </c>
      <c r="C7" s="14" t="n">
        <f aca="false">'Q3.1 Slotting Design'!$B$8</f>
        <v>25</v>
      </c>
      <c r="D7" s="14" t="n">
        <f aca="false">B7*C7*'Q3.1 Slotting Design'!$B$6</f>
        <v>397250</v>
      </c>
    </row>
    <row r="8" customFormat="false" ht="15" hidden="false" customHeight="true" outlineLevel="0" collapsed="false">
      <c r="A8" s="13" t="s">
        <v>49</v>
      </c>
      <c r="B8" s="14" t="n">
        <v>7082</v>
      </c>
      <c r="C8" s="14" t="n">
        <f aca="false">'Q3.1 Slotting Design'!$B$9</f>
        <v>47.5</v>
      </c>
      <c r="D8" s="14" t="n">
        <f aca="false">B8*C8*'Q3.1 Slotting Design'!$B$6</f>
        <v>672790</v>
      </c>
    </row>
    <row r="9" customFormat="false" ht="15" hidden="false" customHeight="true" outlineLevel="0" collapsed="false">
      <c r="A9" s="12" t="s">
        <v>50</v>
      </c>
      <c r="B9" s="16" t="n">
        <f aca="false">SUM(B6:B8)</f>
        <v>20794</v>
      </c>
      <c r="C9" s="17"/>
      <c r="D9" s="16" t="n">
        <f aca="false">SUM(D6:D8)</f>
        <v>1162312</v>
      </c>
    </row>
    <row r="11" customFormat="false" ht="15" hidden="false" customHeight="true" outlineLevel="0" collapsed="false">
      <c r="A11" s="4" t="s">
        <v>51</v>
      </c>
    </row>
    <row r="12" customFormat="false" ht="15" hidden="false" customHeight="true" outlineLevel="0" collapsed="false">
      <c r="A12" s="13" t="s">
        <v>52</v>
      </c>
      <c r="B12" s="18" t="n">
        <f aca="false">B9</f>
        <v>20794</v>
      </c>
    </row>
    <row r="13" customFormat="false" ht="15" hidden="false" customHeight="true" outlineLevel="0" collapsed="false">
      <c r="A13" s="13" t="s">
        <v>53</v>
      </c>
      <c r="B13" s="18" t="n">
        <f aca="false">D9</f>
        <v>1162312</v>
      </c>
    </row>
    <row r="14" customFormat="false" ht="15" hidden="false" customHeight="true" outlineLevel="0" collapsed="false">
      <c r="A14" s="13" t="s">
        <v>54</v>
      </c>
      <c r="B14" s="19" t="n">
        <f aca="false">D9/(B9*2)</f>
        <v>27.9482543041262</v>
      </c>
    </row>
    <row r="15" customFormat="false" ht="15" hidden="false" customHeight="true" outlineLevel="0" collapsed="false">
      <c r="A15" s="13" t="s">
        <v>55</v>
      </c>
      <c r="B15" s="18" t="n">
        <f aca="false">D9/'Q3.1 Slotting Design'!$B$5</f>
        <v>16143.2222222222</v>
      </c>
    </row>
    <row r="16" customFormat="false" ht="15" hidden="false" customHeight="true" outlineLevel="0" collapsed="false">
      <c r="A16" s="13" t="s">
        <v>56</v>
      </c>
      <c r="B16" s="19" t="n">
        <f aca="false">(28*8+39*25+403*47.5)/470</f>
        <v>43.2797872340426</v>
      </c>
    </row>
    <row r="17" customFormat="false" ht="15" hidden="false" customHeight="true" outlineLevel="0" collapsed="false">
      <c r="A17" s="13" t="s">
        <v>57</v>
      </c>
      <c r="B17" s="18" t="n">
        <f aca="false">B16*B9*'Q3.1 Slotting Design'!$B$6</f>
        <v>1799919.79148936</v>
      </c>
    </row>
    <row r="18" customFormat="false" ht="15" hidden="false" customHeight="true" outlineLevel="0" collapsed="false">
      <c r="A18" s="13" t="s">
        <v>58</v>
      </c>
      <c r="B18" s="18" t="n">
        <f aca="false">B17/'Q3.1 Slotting Design'!$B$5</f>
        <v>24998.8859929078</v>
      </c>
    </row>
    <row r="19" customFormat="false" ht="15" hidden="false" customHeight="true" outlineLevel="0" collapsed="false">
      <c r="A19" s="12" t="s">
        <v>59</v>
      </c>
      <c r="B19" s="20" t="n">
        <f aca="false">1-B15/B18</f>
        <v>0.354242335966408</v>
      </c>
    </row>
    <row r="20" customFormat="false" ht="15" hidden="false" customHeight="true" outlineLevel="0" collapsed="false">
      <c r="A20" s="13" t="s">
        <v>60</v>
      </c>
      <c r="B20" s="21" t="n">
        <f aca="false">0.3</f>
        <v>0.3</v>
      </c>
    </row>
    <row r="22" customFormat="false" ht="15" hidden="false" customHeight="true" outlineLevel="0" collapsed="false">
      <c r="A22" s="22" t="s">
        <v>61</v>
      </c>
      <c r="B22" s="22"/>
      <c r="C22" s="22"/>
      <c r="D22" s="22"/>
      <c r="E22" s="22"/>
    </row>
    <row r="23" customFormat="false" ht="15" hidden="false" customHeight="true" outlineLevel="0" collapsed="false">
      <c r="A23" s="22"/>
      <c r="B23" s="22"/>
      <c r="C23" s="22"/>
      <c r="D23" s="22"/>
      <c r="E23" s="22"/>
    </row>
    <row r="24" customFormat="false" ht="15" hidden="false" customHeight="true" outlineLevel="0" collapsed="false">
      <c r="A24" s="22"/>
      <c r="B24" s="22"/>
      <c r="C24" s="22"/>
      <c r="D24" s="22"/>
      <c r="E24" s="22"/>
    </row>
    <row r="25" customFormat="false" ht="15" hidden="false" customHeight="true" outlineLevel="0" collapsed="false">
      <c r="A25" s="22"/>
      <c r="B25" s="22"/>
      <c r="C25" s="22"/>
      <c r="D25" s="22"/>
      <c r="E25" s="22"/>
    </row>
  </sheetData>
  <mergeCells count="1">
    <mergeCell ref="A22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34"/>
    <col collapsed="false" customWidth="true" hidden="false" outlineLevel="0" max="4" min="4" style="1" width="6"/>
    <col collapsed="false" customWidth="true" hidden="false" outlineLevel="0" max="5" min="5" style="1" width="7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10" min="9" style="1" width="11"/>
    <col collapsed="false" customWidth="true" hidden="false" outlineLevel="0" max="11" min="11" style="1" width="8"/>
  </cols>
  <sheetData>
    <row r="1" customFormat="false" ht="15.75" hidden="false" customHeight="true" outlineLevel="0" collapsed="false">
      <c r="A1" s="15" t="s">
        <v>62</v>
      </c>
    </row>
    <row r="2" customFormat="false" ht="15" hidden="false" customHeight="true" outlineLevel="0" collapsed="false">
      <c r="A2" s="3" t="s">
        <v>63</v>
      </c>
    </row>
    <row r="4" customFormat="false" ht="23.25" hidden="false" customHeight="true" outlineLevel="0" collapsed="false">
      <c r="A4" s="8" t="s">
        <v>64</v>
      </c>
      <c r="B4" s="8" t="s">
        <v>65</v>
      </c>
      <c r="C4" s="8" t="s">
        <v>66</v>
      </c>
      <c r="D4" s="8" t="s">
        <v>67</v>
      </c>
      <c r="E4" s="8" t="s">
        <v>20</v>
      </c>
      <c r="F4" s="8" t="s">
        <v>68</v>
      </c>
      <c r="G4" s="8" t="s">
        <v>69</v>
      </c>
      <c r="H4" s="8" t="s">
        <v>70</v>
      </c>
      <c r="I4" s="8" t="s">
        <v>71</v>
      </c>
      <c r="J4" s="8" t="s">
        <v>72</v>
      </c>
      <c r="K4" s="8" t="s">
        <v>73</v>
      </c>
    </row>
    <row r="5" customFormat="false" ht="15" hidden="false" customHeight="true" outlineLevel="0" collapsed="false">
      <c r="A5" s="10" t="s">
        <v>74</v>
      </c>
      <c r="B5" s="10" t="s">
        <v>75</v>
      </c>
      <c r="C5" s="10" t="s">
        <v>76</v>
      </c>
      <c r="D5" s="10" t="s">
        <v>77</v>
      </c>
      <c r="E5" s="11" t="s">
        <v>78</v>
      </c>
      <c r="F5" s="11" t="n">
        <v>825</v>
      </c>
      <c r="G5" s="11" t="n">
        <v>4</v>
      </c>
      <c r="H5" s="11" t="n">
        <f aca="false">F5/G5</f>
        <v>206.25</v>
      </c>
      <c r="I5" s="11" t="n">
        <v>41.4</v>
      </c>
      <c r="J5" s="11" t="n">
        <v>6.8</v>
      </c>
      <c r="K5" s="11" t="n">
        <v>8</v>
      </c>
    </row>
    <row r="6" customFormat="false" ht="15" hidden="false" customHeight="true" outlineLevel="0" collapsed="false">
      <c r="A6" s="10" t="s">
        <v>79</v>
      </c>
      <c r="B6" s="10" t="s">
        <v>80</v>
      </c>
      <c r="C6" s="10" t="s">
        <v>81</v>
      </c>
      <c r="D6" s="10" t="s">
        <v>77</v>
      </c>
      <c r="E6" s="11" t="s">
        <v>78</v>
      </c>
      <c r="F6" s="11" t="n">
        <v>682</v>
      </c>
      <c r="G6" s="11" t="n">
        <v>4</v>
      </c>
      <c r="H6" s="11" t="n">
        <f aca="false">F6/G6</f>
        <v>170.5</v>
      </c>
      <c r="I6" s="11" t="n">
        <v>67.5</v>
      </c>
      <c r="J6" s="11" t="n">
        <v>4.9</v>
      </c>
      <c r="K6" s="11" t="n">
        <v>8</v>
      </c>
    </row>
    <row r="7" customFormat="false" ht="15" hidden="false" customHeight="true" outlineLevel="0" collapsed="false">
      <c r="A7" s="10" t="s">
        <v>82</v>
      </c>
      <c r="B7" s="10" t="s">
        <v>83</v>
      </c>
      <c r="C7" s="10" t="s">
        <v>84</v>
      </c>
      <c r="D7" s="10" t="s">
        <v>77</v>
      </c>
      <c r="E7" s="11" t="s">
        <v>78</v>
      </c>
      <c r="F7" s="11" t="n">
        <v>680</v>
      </c>
      <c r="G7" s="11" t="n">
        <v>4</v>
      </c>
      <c r="H7" s="11" t="n">
        <f aca="false">F7/G7</f>
        <v>170</v>
      </c>
      <c r="I7" s="11" t="n">
        <v>104.5</v>
      </c>
      <c r="J7" s="11" t="n">
        <v>4.2</v>
      </c>
      <c r="K7" s="11" t="n">
        <v>8</v>
      </c>
    </row>
    <row r="8" customFormat="false" ht="15" hidden="false" customHeight="true" outlineLevel="0" collapsed="false">
      <c r="A8" s="10" t="s">
        <v>85</v>
      </c>
      <c r="B8" s="10" t="s">
        <v>86</v>
      </c>
      <c r="C8" s="10" t="s">
        <v>87</v>
      </c>
      <c r="D8" s="10" t="s">
        <v>77</v>
      </c>
      <c r="E8" s="11" t="s">
        <v>78</v>
      </c>
      <c r="F8" s="11" t="n">
        <v>666</v>
      </c>
      <c r="G8" s="11" t="n">
        <v>4</v>
      </c>
      <c r="H8" s="11" t="n">
        <f aca="false">F8/G8</f>
        <v>166.5</v>
      </c>
      <c r="I8" s="11" t="n">
        <v>41.4</v>
      </c>
      <c r="J8" s="11" t="n">
        <v>6</v>
      </c>
      <c r="K8" s="11" t="n">
        <v>8</v>
      </c>
    </row>
    <row r="9" customFormat="false" ht="15" hidden="false" customHeight="true" outlineLevel="0" collapsed="false">
      <c r="A9" s="10" t="s">
        <v>88</v>
      </c>
      <c r="B9" s="10" t="s">
        <v>89</v>
      </c>
      <c r="C9" s="10" t="s">
        <v>90</v>
      </c>
      <c r="D9" s="10" t="s">
        <v>77</v>
      </c>
      <c r="E9" s="11" t="s">
        <v>78</v>
      </c>
      <c r="F9" s="11" t="n">
        <v>514</v>
      </c>
      <c r="G9" s="11" t="n">
        <v>4</v>
      </c>
      <c r="H9" s="11" t="n">
        <f aca="false">F9/G9</f>
        <v>128.5</v>
      </c>
      <c r="I9" s="11" t="n">
        <v>50.8</v>
      </c>
      <c r="J9" s="11" t="n">
        <v>24.7</v>
      </c>
      <c r="K9" s="11" t="n">
        <v>8</v>
      </c>
    </row>
    <row r="10" customFormat="false" ht="15" hidden="false" customHeight="true" outlineLevel="0" collapsed="false">
      <c r="A10" s="10" t="s">
        <v>91</v>
      </c>
      <c r="B10" s="10" t="s">
        <v>92</v>
      </c>
      <c r="C10" s="10" t="s">
        <v>93</v>
      </c>
      <c r="D10" s="10" t="s">
        <v>77</v>
      </c>
      <c r="E10" s="11" t="s">
        <v>78</v>
      </c>
      <c r="F10" s="11" t="n">
        <v>267</v>
      </c>
      <c r="G10" s="11" t="n">
        <v>4</v>
      </c>
      <c r="H10" s="11" t="n">
        <f aca="false">F10/G10</f>
        <v>66.75</v>
      </c>
      <c r="I10" s="11" t="n">
        <v>67.5</v>
      </c>
      <c r="J10" s="11" t="n">
        <v>202.1</v>
      </c>
      <c r="K10" s="11" t="n">
        <v>8</v>
      </c>
    </row>
    <row r="11" customFormat="false" ht="15" hidden="false" customHeight="true" outlineLevel="0" collapsed="false">
      <c r="A11" s="10" t="s">
        <v>94</v>
      </c>
      <c r="B11" s="10" t="s">
        <v>95</v>
      </c>
      <c r="C11" s="10" t="s">
        <v>96</v>
      </c>
      <c r="D11" s="10" t="s">
        <v>77</v>
      </c>
      <c r="E11" s="11" t="s">
        <v>78</v>
      </c>
      <c r="F11" s="11" t="n">
        <v>210</v>
      </c>
      <c r="G11" s="11" t="n">
        <v>4</v>
      </c>
      <c r="H11" s="11" t="n">
        <f aca="false">F11/G11</f>
        <v>52.5</v>
      </c>
      <c r="I11" s="11" t="n">
        <v>102.6</v>
      </c>
      <c r="J11" s="11" t="n">
        <v>35.4</v>
      </c>
      <c r="K11" s="11" t="n">
        <v>8</v>
      </c>
    </row>
    <row r="12" customFormat="false" ht="15" hidden="false" customHeight="true" outlineLevel="0" collapsed="false">
      <c r="A12" s="10" t="s">
        <v>97</v>
      </c>
      <c r="B12" s="10" t="s">
        <v>98</v>
      </c>
      <c r="C12" s="10" t="s">
        <v>99</v>
      </c>
      <c r="D12" s="10" t="s">
        <v>77</v>
      </c>
      <c r="E12" s="11" t="s">
        <v>78</v>
      </c>
      <c r="F12" s="11" t="n">
        <v>170</v>
      </c>
      <c r="G12" s="11" t="n">
        <v>4</v>
      </c>
      <c r="H12" s="11" t="n">
        <f aca="false">F12/G12</f>
        <v>42.5</v>
      </c>
      <c r="I12" s="11" t="n">
        <v>46.8</v>
      </c>
      <c r="J12" s="11" t="n">
        <v>54.6</v>
      </c>
      <c r="K12" s="11" t="n">
        <v>8</v>
      </c>
    </row>
    <row r="13" customFormat="false" ht="15" hidden="false" customHeight="true" outlineLevel="0" collapsed="false">
      <c r="A13" s="10" t="s">
        <v>100</v>
      </c>
      <c r="B13" s="10" t="s">
        <v>101</v>
      </c>
      <c r="C13" s="10" t="s">
        <v>102</v>
      </c>
      <c r="D13" s="10" t="s">
        <v>77</v>
      </c>
      <c r="E13" s="11" t="s">
        <v>78</v>
      </c>
      <c r="F13" s="11" t="n">
        <v>161</v>
      </c>
      <c r="G13" s="11" t="n">
        <v>4</v>
      </c>
      <c r="H13" s="11" t="n">
        <f aca="false">F13/G13</f>
        <v>40.25</v>
      </c>
      <c r="I13" s="11" t="n">
        <v>55</v>
      </c>
      <c r="J13" s="11" t="n">
        <v>66.2</v>
      </c>
      <c r="K13" s="11" t="n">
        <v>8</v>
      </c>
    </row>
    <row r="14" customFormat="false" ht="15" hidden="false" customHeight="true" outlineLevel="0" collapsed="false">
      <c r="A14" s="10" t="s">
        <v>103</v>
      </c>
      <c r="B14" s="10" t="s">
        <v>104</v>
      </c>
      <c r="C14" s="10" t="s">
        <v>99</v>
      </c>
      <c r="D14" s="10" t="s">
        <v>77</v>
      </c>
      <c r="E14" s="11" t="s">
        <v>78</v>
      </c>
      <c r="F14" s="11" t="n">
        <v>150</v>
      </c>
      <c r="G14" s="11" t="n">
        <v>4</v>
      </c>
      <c r="H14" s="11" t="n">
        <f aca="false">F14/G14</f>
        <v>37.5</v>
      </c>
      <c r="I14" s="11" t="n">
        <v>46.7</v>
      </c>
      <c r="J14" s="11" t="n">
        <v>89</v>
      </c>
      <c r="K14" s="11" t="n">
        <v>8</v>
      </c>
    </row>
    <row r="15" customFormat="false" ht="15" hidden="false" customHeight="true" outlineLevel="0" collapsed="false">
      <c r="A15" s="10" t="s">
        <v>105</v>
      </c>
      <c r="B15" s="10" t="s">
        <v>106</v>
      </c>
      <c r="C15" s="10" t="s">
        <v>107</v>
      </c>
      <c r="D15" s="10" t="s">
        <v>77</v>
      </c>
      <c r="E15" s="11" t="s">
        <v>78</v>
      </c>
      <c r="F15" s="11" t="n">
        <v>147</v>
      </c>
      <c r="G15" s="11" t="n">
        <v>4</v>
      </c>
      <c r="H15" s="11" t="n">
        <f aca="false">F15/G15</f>
        <v>36.75</v>
      </c>
      <c r="I15" s="11" t="n">
        <v>37.5</v>
      </c>
      <c r="J15" s="11" t="n">
        <v>36.3</v>
      </c>
      <c r="K15" s="11" t="n">
        <v>8</v>
      </c>
    </row>
    <row r="16" customFormat="false" ht="15" hidden="false" customHeight="true" outlineLevel="0" collapsed="false">
      <c r="A16" s="10" t="s">
        <v>108</v>
      </c>
      <c r="B16" s="10" t="s">
        <v>109</v>
      </c>
      <c r="C16" s="10" t="s">
        <v>110</v>
      </c>
      <c r="D16" s="10" t="s">
        <v>77</v>
      </c>
      <c r="E16" s="11" t="s">
        <v>78</v>
      </c>
      <c r="F16" s="11" t="n">
        <v>131</v>
      </c>
      <c r="G16" s="11" t="n">
        <v>4</v>
      </c>
      <c r="H16" s="11" t="n">
        <f aca="false">F16/G16</f>
        <v>32.75</v>
      </c>
      <c r="I16" s="11" t="n">
        <v>47.6</v>
      </c>
      <c r="J16" s="11" t="n">
        <v>52.3</v>
      </c>
      <c r="K16" s="11" t="n">
        <v>8</v>
      </c>
    </row>
    <row r="17" customFormat="false" ht="15" hidden="false" customHeight="true" outlineLevel="0" collapsed="false">
      <c r="A17" s="10" t="s">
        <v>111</v>
      </c>
      <c r="B17" s="10" t="s">
        <v>112</v>
      </c>
      <c r="C17" s="10" t="s">
        <v>113</v>
      </c>
      <c r="D17" s="10" t="s">
        <v>77</v>
      </c>
      <c r="E17" s="11" t="s">
        <v>78</v>
      </c>
      <c r="F17" s="11" t="n">
        <v>127</v>
      </c>
      <c r="G17" s="11" t="n">
        <v>4</v>
      </c>
      <c r="H17" s="11" t="n">
        <f aca="false">F17/G17</f>
        <v>31.75</v>
      </c>
      <c r="I17" s="11" t="n">
        <v>95</v>
      </c>
      <c r="J17" s="11" t="n">
        <v>41.4</v>
      </c>
      <c r="K17" s="11" t="n">
        <v>8</v>
      </c>
    </row>
    <row r="18" customFormat="false" ht="15" hidden="false" customHeight="true" outlineLevel="0" collapsed="false">
      <c r="A18" s="10" t="s">
        <v>114</v>
      </c>
      <c r="B18" s="10" t="s">
        <v>115</v>
      </c>
      <c r="C18" s="10" t="s">
        <v>116</v>
      </c>
      <c r="D18" s="10" t="s">
        <v>77</v>
      </c>
      <c r="E18" s="11" t="s">
        <v>78</v>
      </c>
      <c r="F18" s="11" t="n">
        <v>126</v>
      </c>
      <c r="G18" s="11" t="n">
        <v>4</v>
      </c>
      <c r="H18" s="11" t="n">
        <f aca="false">F18/G18</f>
        <v>31.5</v>
      </c>
      <c r="I18" s="11" t="n">
        <v>67.5</v>
      </c>
      <c r="J18" s="11" t="n">
        <v>41.5</v>
      </c>
      <c r="K18" s="11" t="n">
        <v>8</v>
      </c>
    </row>
    <row r="19" customFormat="false" ht="15" hidden="false" customHeight="true" outlineLevel="0" collapsed="false">
      <c r="A19" s="10" t="s">
        <v>117</v>
      </c>
      <c r="B19" s="10" t="s">
        <v>118</v>
      </c>
      <c r="C19" s="10" t="s">
        <v>119</v>
      </c>
      <c r="D19" s="10" t="s">
        <v>77</v>
      </c>
      <c r="E19" s="11" t="s">
        <v>78</v>
      </c>
      <c r="F19" s="11" t="n">
        <v>116</v>
      </c>
      <c r="G19" s="11" t="n">
        <v>4</v>
      </c>
      <c r="H19" s="11" t="n">
        <f aca="false">F19/G19</f>
        <v>29</v>
      </c>
      <c r="I19" s="11" t="n">
        <v>104.6</v>
      </c>
      <c r="J19" s="11" t="n">
        <v>31.9</v>
      </c>
      <c r="K19" s="11" t="n">
        <v>8</v>
      </c>
    </row>
    <row r="20" customFormat="false" ht="15" hidden="false" customHeight="true" outlineLevel="0" collapsed="false">
      <c r="A20" s="10" t="s">
        <v>120</v>
      </c>
      <c r="B20" s="10" t="s">
        <v>121</v>
      </c>
      <c r="C20" s="10" t="s">
        <v>122</v>
      </c>
      <c r="D20" s="10" t="s">
        <v>77</v>
      </c>
      <c r="E20" s="11" t="s">
        <v>78</v>
      </c>
      <c r="F20" s="11" t="n">
        <v>113</v>
      </c>
      <c r="G20" s="11" t="n">
        <v>4</v>
      </c>
      <c r="H20" s="11" t="n">
        <f aca="false">F20/G20</f>
        <v>28.25</v>
      </c>
      <c r="I20" s="11" t="n">
        <v>37.5</v>
      </c>
      <c r="J20" s="11" t="n">
        <v>26.5</v>
      </c>
      <c r="K20" s="11" t="n">
        <v>8</v>
      </c>
    </row>
    <row r="21" customFormat="false" ht="15" hidden="false" customHeight="true" outlineLevel="0" collapsed="false">
      <c r="A21" s="10" t="s">
        <v>123</v>
      </c>
      <c r="B21" s="10" t="s">
        <v>124</v>
      </c>
      <c r="C21" s="10" t="s">
        <v>125</v>
      </c>
      <c r="D21" s="10" t="s">
        <v>77</v>
      </c>
      <c r="E21" s="11" t="s">
        <v>78</v>
      </c>
      <c r="F21" s="11" t="n">
        <v>102</v>
      </c>
      <c r="G21" s="11" t="n">
        <v>4</v>
      </c>
      <c r="H21" s="11" t="n">
        <f aca="false">F21/G21</f>
        <v>25.5</v>
      </c>
      <c r="I21" s="11" t="n">
        <v>56.3</v>
      </c>
      <c r="J21" s="11" t="n">
        <v>42.9</v>
      </c>
      <c r="K21" s="11" t="n">
        <v>8</v>
      </c>
    </row>
    <row r="22" customFormat="false" ht="15" hidden="false" customHeight="true" outlineLevel="0" collapsed="false">
      <c r="A22" s="10" t="s">
        <v>126</v>
      </c>
      <c r="B22" s="10" t="s">
        <v>127</v>
      </c>
      <c r="C22" s="10" t="s">
        <v>128</v>
      </c>
      <c r="D22" s="10" t="s">
        <v>77</v>
      </c>
      <c r="E22" s="11" t="s">
        <v>78</v>
      </c>
      <c r="F22" s="11" t="n">
        <v>102</v>
      </c>
      <c r="G22" s="11" t="n">
        <v>4</v>
      </c>
      <c r="H22" s="11" t="n">
        <f aca="false">F22/G22</f>
        <v>25.5</v>
      </c>
      <c r="I22" s="11" t="n">
        <v>41.4</v>
      </c>
      <c r="J22" s="11" t="n">
        <v>25.4</v>
      </c>
      <c r="K22" s="11" t="n">
        <v>8</v>
      </c>
    </row>
    <row r="23" customFormat="false" ht="15" hidden="false" customHeight="true" outlineLevel="0" collapsed="false">
      <c r="A23" s="10" t="s">
        <v>129</v>
      </c>
      <c r="B23" s="10" t="s">
        <v>130</v>
      </c>
      <c r="C23" s="10" t="s">
        <v>131</v>
      </c>
      <c r="D23" s="10" t="s">
        <v>77</v>
      </c>
      <c r="E23" s="11" t="s">
        <v>78</v>
      </c>
      <c r="F23" s="11" t="n">
        <v>92</v>
      </c>
      <c r="G23" s="11" t="n">
        <v>4</v>
      </c>
      <c r="H23" s="11" t="n">
        <f aca="false">F23/G23</f>
        <v>23</v>
      </c>
      <c r="I23" s="11" t="n">
        <v>41.4</v>
      </c>
      <c r="J23" s="11" t="n">
        <v>31.9</v>
      </c>
      <c r="K23" s="11" t="n">
        <v>8</v>
      </c>
    </row>
    <row r="24" customFormat="false" ht="15" hidden="false" customHeight="true" outlineLevel="0" collapsed="false">
      <c r="A24" s="10" t="s">
        <v>132</v>
      </c>
      <c r="B24" s="10" t="s">
        <v>133</v>
      </c>
      <c r="C24" s="10" t="s">
        <v>134</v>
      </c>
      <c r="D24" s="10" t="s">
        <v>77</v>
      </c>
      <c r="E24" s="11" t="s">
        <v>78</v>
      </c>
      <c r="F24" s="11" t="n">
        <v>89</v>
      </c>
      <c r="G24" s="11" t="n">
        <v>4</v>
      </c>
      <c r="H24" s="11" t="n">
        <f aca="false">F24/G24</f>
        <v>22.25</v>
      </c>
      <c r="I24" s="11" t="n">
        <v>54.9</v>
      </c>
      <c r="J24" s="11" t="n">
        <v>52.6</v>
      </c>
      <c r="K24" s="11" t="n">
        <v>8</v>
      </c>
    </row>
    <row r="25" customFormat="false" ht="15" hidden="false" customHeight="true" outlineLevel="0" collapsed="false">
      <c r="A25" s="10" t="s">
        <v>135</v>
      </c>
      <c r="B25" s="10" t="s">
        <v>136</v>
      </c>
      <c r="C25" s="10" t="s">
        <v>137</v>
      </c>
      <c r="D25" s="10" t="s">
        <v>77</v>
      </c>
      <c r="E25" s="11" t="s">
        <v>78</v>
      </c>
      <c r="F25" s="11" t="n">
        <v>88</v>
      </c>
      <c r="G25" s="11" t="n">
        <v>4</v>
      </c>
      <c r="H25" s="11" t="n">
        <f aca="false">F25/G25</f>
        <v>22</v>
      </c>
      <c r="I25" s="11" t="n">
        <v>41.4</v>
      </c>
      <c r="J25" s="11" t="n">
        <v>44.7</v>
      </c>
      <c r="K25" s="11" t="n">
        <v>8</v>
      </c>
    </row>
    <row r="26" customFormat="false" ht="15" hidden="false" customHeight="true" outlineLevel="0" collapsed="false">
      <c r="A26" s="10" t="s">
        <v>138</v>
      </c>
      <c r="B26" s="10" t="s">
        <v>139</v>
      </c>
      <c r="C26" s="10" t="s">
        <v>140</v>
      </c>
      <c r="D26" s="10" t="s">
        <v>77</v>
      </c>
      <c r="E26" s="11" t="s">
        <v>78</v>
      </c>
      <c r="F26" s="11" t="n">
        <v>77</v>
      </c>
      <c r="G26" s="11" t="n">
        <v>4</v>
      </c>
      <c r="H26" s="11" t="n">
        <f aca="false">F26/G26</f>
        <v>19.25</v>
      </c>
      <c r="I26" s="11" t="n">
        <v>30.6</v>
      </c>
      <c r="J26" s="11" t="n">
        <v>58.2</v>
      </c>
      <c r="K26" s="11" t="n">
        <v>8</v>
      </c>
    </row>
    <row r="27" customFormat="false" ht="15" hidden="false" customHeight="true" outlineLevel="0" collapsed="false">
      <c r="A27" s="10" t="s">
        <v>141</v>
      </c>
      <c r="B27" s="10" t="s">
        <v>142</v>
      </c>
      <c r="C27" s="10" t="s">
        <v>143</v>
      </c>
      <c r="D27" s="10" t="s">
        <v>77</v>
      </c>
      <c r="E27" s="11" t="s">
        <v>78</v>
      </c>
      <c r="F27" s="11" t="n">
        <v>57</v>
      </c>
      <c r="G27" s="11" t="n">
        <v>4</v>
      </c>
      <c r="H27" s="11" t="n">
        <f aca="false">F27/G27</f>
        <v>14.25</v>
      </c>
      <c r="I27" s="11" t="n">
        <v>30.6</v>
      </c>
      <c r="J27" s="11" t="n">
        <v>44.6</v>
      </c>
      <c r="K27" s="11" t="n">
        <v>8</v>
      </c>
    </row>
    <row r="28" customFormat="false" ht="15" hidden="false" customHeight="true" outlineLevel="0" collapsed="false">
      <c r="A28" s="10" t="s">
        <v>144</v>
      </c>
      <c r="B28" s="10" t="s">
        <v>145</v>
      </c>
      <c r="C28" s="10" t="s">
        <v>146</v>
      </c>
      <c r="D28" s="10" t="s">
        <v>147</v>
      </c>
      <c r="E28" s="11" t="s">
        <v>78</v>
      </c>
      <c r="F28" s="11" t="n">
        <v>28</v>
      </c>
      <c r="G28" s="11" t="n">
        <v>4</v>
      </c>
      <c r="H28" s="11" t="n">
        <f aca="false">F28/G28</f>
        <v>7</v>
      </c>
      <c r="I28" s="11" t="n">
        <v>32.7</v>
      </c>
      <c r="J28" s="11" t="n">
        <v>46</v>
      </c>
      <c r="K28" s="11" t="n">
        <v>8</v>
      </c>
    </row>
    <row r="29" customFormat="false" ht="15" hidden="false" customHeight="true" outlineLevel="0" collapsed="false">
      <c r="A29" s="10" t="s">
        <v>148</v>
      </c>
      <c r="B29" s="10" t="s">
        <v>149</v>
      </c>
      <c r="C29" s="10" t="s">
        <v>150</v>
      </c>
      <c r="D29" s="10" t="s">
        <v>77</v>
      </c>
      <c r="E29" s="11" t="s">
        <v>78</v>
      </c>
      <c r="F29" s="11" t="n">
        <v>27</v>
      </c>
      <c r="G29" s="11" t="n">
        <v>4</v>
      </c>
      <c r="H29" s="11" t="n">
        <f aca="false">F29/G29</f>
        <v>6.75</v>
      </c>
      <c r="I29" s="11" t="n">
        <v>63.7</v>
      </c>
      <c r="J29" s="11" t="n">
        <v>92.7</v>
      </c>
      <c r="K29" s="11" t="n">
        <v>8</v>
      </c>
    </row>
    <row r="30" customFormat="false" ht="15" hidden="false" customHeight="true" outlineLevel="0" collapsed="false">
      <c r="A30" s="10" t="s">
        <v>151</v>
      </c>
      <c r="B30" s="10" t="s">
        <v>152</v>
      </c>
      <c r="C30" s="10" t="s">
        <v>153</v>
      </c>
      <c r="D30" s="10" t="s">
        <v>77</v>
      </c>
      <c r="E30" s="11" t="s">
        <v>78</v>
      </c>
      <c r="F30" s="11" t="n">
        <v>11</v>
      </c>
      <c r="G30" s="11" t="n">
        <v>4</v>
      </c>
      <c r="H30" s="11" t="n">
        <f aca="false">F30/G30</f>
        <v>2.75</v>
      </c>
      <c r="I30" s="11" t="n">
        <v>63.3</v>
      </c>
      <c r="J30" s="11" t="n">
        <v>535.4</v>
      </c>
      <c r="K30" s="11" t="n">
        <v>8</v>
      </c>
    </row>
    <row r="31" customFormat="false" ht="15" hidden="false" customHeight="true" outlineLevel="0" collapsed="false">
      <c r="A31" s="10" t="s">
        <v>154</v>
      </c>
      <c r="B31" s="10" t="s">
        <v>155</v>
      </c>
      <c r="C31" s="10" t="s">
        <v>156</v>
      </c>
      <c r="D31" s="10" t="s">
        <v>77</v>
      </c>
      <c r="E31" s="11" t="s">
        <v>78</v>
      </c>
      <c r="F31" s="11" t="n">
        <v>5</v>
      </c>
      <c r="G31" s="11" t="n">
        <v>4</v>
      </c>
      <c r="H31" s="11" t="n">
        <f aca="false">F31/G31</f>
        <v>1.25</v>
      </c>
      <c r="I31" s="11" t="n">
        <v>58.2</v>
      </c>
      <c r="J31" s="11" t="n">
        <v>624</v>
      </c>
      <c r="K31" s="11" t="n">
        <v>8</v>
      </c>
    </row>
    <row r="32" customFormat="false" ht="15" hidden="false" customHeight="true" outlineLevel="0" collapsed="false">
      <c r="A32" s="10" t="s">
        <v>157</v>
      </c>
      <c r="B32" s="10" t="s">
        <v>158</v>
      </c>
      <c r="C32" s="10"/>
      <c r="D32" s="10"/>
      <c r="E32" s="11" t="s">
        <v>78</v>
      </c>
      <c r="F32" s="11" t="n">
        <v>4</v>
      </c>
      <c r="G32" s="11" t="n">
        <v>4</v>
      </c>
      <c r="H32" s="11" t="n">
        <f aca="false">F32/G32</f>
        <v>1</v>
      </c>
      <c r="I32" s="11" t="n">
        <v>49.1</v>
      </c>
      <c r="J32" s="11" t="n">
        <v>550.4</v>
      </c>
      <c r="K32" s="11" t="n">
        <v>8</v>
      </c>
    </row>
    <row r="33" customFormat="false" ht="15" hidden="false" customHeight="true" outlineLevel="0" collapsed="false">
      <c r="A33" s="23" t="s">
        <v>159</v>
      </c>
      <c r="B33" s="23" t="s">
        <v>160</v>
      </c>
      <c r="C33" s="23" t="s">
        <v>161</v>
      </c>
      <c r="D33" s="23" t="s">
        <v>147</v>
      </c>
      <c r="E33" s="24" t="s">
        <v>162</v>
      </c>
      <c r="F33" s="24" t="n">
        <v>613</v>
      </c>
      <c r="G33" s="24" t="n">
        <v>2.5</v>
      </c>
      <c r="H33" s="24" t="n">
        <f aca="false">F33/G33</f>
        <v>245.2</v>
      </c>
      <c r="I33" s="24" t="n">
        <v>31</v>
      </c>
      <c r="J33" s="24" t="n">
        <v>3</v>
      </c>
      <c r="K33" s="24" t="n">
        <v>25</v>
      </c>
    </row>
    <row r="34" customFormat="false" ht="15" hidden="false" customHeight="true" outlineLevel="0" collapsed="false">
      <c r="A34" s="23" t="s">
        <v>163</v>
      </c>
      <c r="B34" s="23" t="s">
        <v>164</v>
      </c>
      <c r="C34" s="23" t="s">
        <v>165</v>
      </c>
      <c r="D34" s="23" t="s">
        <v>147</v>
      </c>
      <c r="E34" s="24" t="s">
        <v>162</v>
      </c>
      <c r="F34" s="24" t="n">
        <v>555</v>
      </c>
      <c r="G34" s="24" t="n">
        <v>2.5</v>
      </c>
      <c r="H34" s="24" t="n">
        <f aca="false">F34/G34</f>
        <v>222</v>
      </c>
      <c r="I34" s="24" t="n">
        <v>38.5</v>
      </c>
      <c r="J34" s="24" t="n">
        <v>3.8</v>
      </c>
      <c r="K34" s="24" t="n">
        <v>25</v>
      </c>
    </row>
    <row r="35" customFormat="false" ht="15" hidden="false" customHeight="true" outlineLevel="0" collapsed="false">
      <c r="A35" s="23" t="s">
        <v>166</v>
      </c>
      <c r="B35" s="23" t="s">
        <v>167</v>
      </c>
      <c r="C35" s="23" t="s">
        <v>168</v>
      </c>
      <c r="D35" s="23" t="s">
        <v>147</v>
      </c>
      <c r="E35" s="24" t="s">
        <v>162</v>
      </c>
      <c r="F35" s="24" t="n">
        <v>537</v>
      </c>
      <c r="G35" s="24" t="n">
        <v>2.5</v>
      </c>
      <c r="H35" s="24" t="n">
        <f aca="false">F35/G35</f>
        <v>214.8</v>
      </c>
      <c r="I35" s="24" t="n">
        <v>43.6</v>
      </c>
      <c r="J35" s="24" t="n">
        <v>2.5</v>
      </c>
      <c r="K35" s="24" t="n">
        <v>25</v>
      </c>
    </row>
    <row r="36" customFormat="false" ht="15" hidden="false" customHeight="true" outlineLevel="0" collapsed="false">
      <c r="A36" s="23" t="s">
        <v>169</v>
      </c>
      <c r="B36" s="23" t="s">
        <v>170</v>
      </c>
      <c r="C36" s="23" t="s">
        <v>171</v>
      </c>
      <c r="D36" s="23" t="s">
        <v>147</v>
      </c>
      <c r="E36" s="24" t="s">
        <v>162</v>
      </c>
      <c r="F36" s="24" t="n">
        <v>521</v>
      </c>
      <c r="G36" s="24" t="n">
        <v>2.5</v>
      </c>
      <c r="H36" s="24" t="n">
        <f aca="false">F36/G36</f>
        <v>208.4</v>
      </c>
      <c r="I36" s="24" t="n">
        <v>17.8</v>
      </c>
      <c r="J36" s="24" t="n">
        <v>2.4</v>
      </c>
      <c r="K36" s="24" t="n">
        <v>25</v>
      </c>
    </row>
    <row r="37" customFormat="false" ht="15" hidden="false" customHeight="true" outlineLevel="0" collapsed="false">
      <c r="A37" s="23" t="s">
        <v>172</v>
      </c>
      <c r="B37" s="23" t="s">
        <v>173</v>
      </c>
      <c r="C37" s="23" t="s">
        <v>174</v>
      </c>
      <c r="D37" s="23" t="s">
        <v>147</v>
      </c>
      <c r="E37" s="24" t="s">
        <v>162</v>
      </c>
      <c r="F37" s="24" t="n">
        <v>509</v>
      </c>
      <c r="G37" s="24" t="n">
        <v>2.5</v>
      </c>
      <c r="H37" s="24" t="n">
        <f aca="false">F37/G37</f>
        <v>203.6</v>
      </c>
      <c r="I37" s="24" t="n">
        <v>48.5</v>
      </c>
      <c r="J37" s="24" t="n">
        <v>2.4</v>
      </c>
      <c r="K37" s="24" t="n">
        <v>25</v>
      </c>
    </row>
    <row r="38" customFormat="false" ht="15" hidden="false" customHeight="true" outlineLevel="0" collapsed="false">
      <c r="A38" s="23" t="s">
        <v>175</v>
      </c>
      <c r="B38" s="23" t="s">
        <v>176</v>
      </c>
      <c r="C38" s="23" t="s">
        <v>177</v>
      </c>
      <c r="D38" s="23" t="s">
        <v>178</v>
      </c>
      <c r="E38" s="24" t="s">
        <v>162</v>
      </c>
      <c r="F38" s="24" t="n">
        <v>487</v>
      </c>
      <c r="G38" s="24" t="n">
        <v>2.5</v>
      </c>
      <c r="H38" s="24" t="n">
        <f aca="false">F38/G38</f>
        <v>194.8</v>
      </c>
      <c r="I38" s="24" t="n">
        <v>11.7</v>
      </c>
      <c r="J38" s="24" t="n">
        <v>3</v>
      </c>
      <c r="K38" s="24" t="n">
        <v>25</v>
      </c>
    </row>
    <row r="39" customFormat="false" ht="15" hidden="false" customHeight="true" outlineLevel="0" collapsed="false">
      <c r="A39" s="23" t="s">
        <v>179</v>
      </c>
      <c r="B39" s="23" t="s">
        <v>180</v>
      </c>
      <c r="C39" s="23" t="s">
        <v>181</v>
      </c>
      <c r="D39" s="23" t="s">
        <v>147</v>
      </c>
      <c r="E39" s="24" t="s">
        <v>162</v>
      </c>
      <c r="F39" s="24" t="n">
        <v>460</v>
      </c>
      <c r="G39" s="24" t="n">
        <v>2.5</v>
      </c>
      <c r="H39" s="24" t="n">
        <f aca="false">F39/G39</f>
        <v>184</v>
      </c>
      <c r="I39" s="24" t="n">
        <v>11.8</v>
      </c>
      <c r="J39" s="24" t="n">
        <v>2.7</v>
      </c>
      <c r="K39" s="24" t="n">
        <v>25</v>
      </c>
    </row>
    <row r="40" customFormat="false" ht="15" hidden="false" customHeight="true" outlineLevel="0" collapsed="false">
      <c r="A40" s="23" t="s">
        <v>182</v>
      </c>
      <c r="B40" s="23" t="s">
        <v>183</v>
      </c>
      <c r="C40" s="23" t="s">
        <v>184</v>
      </c>
      <c r="D40" s="23" t="s">
        <v>178</v>
      </c>
      <c r="E40" s="24" t="s">
        <v>162</v>
      </c>
      <c r="F40" s="24" t="n">
        <v>437</v>
      </c>
      <c r="G40" s="24" t="n">
        <v>2.5</v>
      </c>
      <c r="H40" s="24" t="n">
        <f aca="false">F40/G40</f>
        <v>174.8</v>
      </c>
      <c r="I40" s="24" t="n">
        <v>7</v>
      </c>
      <c r="J40" s="24" t="n">
        <v>3.2</v>
      </c>
      <c r="K40" s="24" t="n">
        <v>25</v>
      </c>
    </row>
    <row r="41" customFormat="false" ht="15" hidden="false" customHeight="true" outlineLevel="0" collapsed="false">
      <c r="A41" s="23" t="s">
        <v>185</v>
      </c>
      <c r="B41" s="23" t="s">
        <v>186</v>
      </c>
      <c r="C41" s="23" t="s">
        <v>187</v>
      </c>
      <c r="D41" s="23" t="s">
        <v>77</v>
      </c>
      <c r="E41" s="24" t="s">
        <v>162</v>
      </c>
      <c r="F41" s="24" t="n">
        <v>403</v>
      </c>
      <c r="G41" s="24" t="n">
        <v>2.5</v>
      </c>
      <c r="H41" s="24" t="n">
        <f aca="false">F41/G41</f>
        <v>161.2</v>
      </c>
      <c r="I41" s="24" t="n">
        <v>90.9</v>
      </c>
      <c r="J41" s="24" t="n">
        <v>5.1</v>
      </c>
      <c r="K41" s="24" t="n">
        <v>25</v>
      </c>
    </row>
    <row r="42" customFormat="false" ht="15" hidden="false" customHeight="true" outlineLevel="0" collapsed="false">
      <c r="A42" s="23" t="s">
        <v>188</v>
      </c>
      <c r="B42" s="23" t="s">
        <v>189</v>
      </c>
      <c r="C42" s="23" t="s">
        <v>181</v>
      </c>
      <c r="D42" s="23" t="s">
        <v>147</v>
      </c>
      <c r="E42" s="24" t="s">
        <v>162</v>
      </c>
      <c r="F42" s="24" t="n">
        <v>357</v>
      </c>
      <c r="G42" s="24" t="n">
        <v>2.5</v>
      </c>
      <c r="H42" s="24" t="n">
        <f aca="false">F42/G42</f>
        <v>142.8</v>
      </c>
      <c r="I42" s="24" t="n">
        <v>13.2</v>
      </c>
      <c r="J42" s="24" t="n">
        <v>2.4</v>
      </c>
      <c r="K42" s="24" t="n">
        <v>25</v>
      </c>
    </row>
    <row r="43" customFormat="false" ht="15" hidden="false" customHeight="true" outlineLevel="0" collapsed="false">
      <c r="A43" s="23" t="s">
        <v>190</v>
      </c>
      <c r="B43" s="23" t="s">
        <v>191</v>
      </c>
      <c r="C43" s="23" t="s">
        <v>192</v>
      </c>
      <c r="D43" s="23" t="s">
        <v>178</v>
      </c>
      <c r="E43" s="24" t="s">
        <v>162</v>
      </c>
      <c r="F43" s="24" t="n">
        <v>354</v>
      </c>
      <c r="G43" s="24" t="n">
        <v>2.5</v>
      </c>
      <c r="H43" s="24" t="n">
        <f aca="false">F43/G43</f>
        <v>141.6</v>
      </c>
      <c r="I43" s="24" t="n">
        <v>20.4</v>
      </c>
      <c r="J43" s="24" t="n">
        <v>3.7</v>
      </c>
      <c r="K43" s="24" t="n">
        <v>25</v>
      </c>
    </row>
    <row r="44" customFormat="false" ht="15" hidden="false" customHeight="true" outlineLevel="0" collapsed="false">
      <c r="A44" s="23" t="s">
        <v>193</v>
      </c>
      <c r="B44" s="23" t="s">
        <v>194</v>
      </c>
      <c r="C44" s="23" t="s">
        <v>195</v>
      </c>
      <c r="D44" s="23" t="s">
        <v>147</v>
      </c>
      <c r="E44" s="24" t="s">
        <v>162</v>
      </c>
      <c r="F44" s="24" t="n">
        <v>332</v>
      </c>
      <c r="G44" s="24" t="n">
        <v>2.5</v>
      </c>
      <c r="H44" s="24" t="n">
        <f aca="false">F44/G44</f>
        <v>132.8</v>
      </c>
      <c r="I44" s="24" t="n">
        <v>117.3</v>
      </c>
      <c r="J44" s="24" t="n">
        <v>2.5</v>
      </c>
      <c r="K44" s="24" t="n">
        <v>25</v>
      </c>
    </row>
    <row r="45" customFormat="false" ht="15" hidden="false" customHeight="true" outlineLevel="0" collapsed="false">
      <c r="A45" s="23" t="s">
        <v>196</v>
      </c>
      <c r="B45" s="23" t="s">
        <v>197</v>
      </c>
      <c r="C45" s="23" t="s">
        <v>198</v>
      </c>
      <c r="D45" s="23" t="s">
        <v>147</v>
      </c>
      <c r="E45" s="24" t="s">
        <v>162</v>
      </c>
      <c r="F45" s="24" t="n">
        <v>308</v>
      </c>
      <c r="G45" s="24" t="n">
        <v>2.5</v>
      </c>
      <c r="H45" s="24" t="n">
        <f aca="false">F45/G45</f>
        <v>123.2</v>
      </c>
      <c r="I45" s="24" t="n">
        <v>85.4</v>
      </c>
      <c r="J45" s="24" t="n">
        <v>3.3</v>
      </c>
      <c r="K45" s="24" t="n">
        <v>25</v>
      </c>
    </row>
    <row r="46" customFormat="false" ht="15" hidden="false" customHeight="true" outlineLevel="0" collapsed="false">
      <c r="A46" s="23" t="s">
        <v>199</v>
      </c>
      <c r="B46" s="23" t="s">
        <v>200</v>
      </c>
      <c r="C46" s="23" t="s">
        <v>201</v>
      </c>
      <c r="D46" s="23" t="s">
        <v>178</v>
      </c>
      <c r="E46" s="24" t="s">
        <v>162</v>
      </c>
      <c r="F46" s="24" t="n">
        <v>181</v>
      </c>
      <c r="G46" s="24" t="n">
        <v>2.5</v>
      </c>
      <c r="H46" s="24" t="n">
        <f aca="false">F46/G46</f>
        <v>72.4</v>
      </c>
      <c r="I46" s="24" t="n">
        <v>16.2</v>
      </c>
      <c r="J46" s="24" t="n">
        <v>4.4</v>
      </c>
      <c r="K46" s="24" t="n">
        <v>25</v>
      </c>
    </row>
    <row r="47" customFormat="false" ht="15" hidden="false" customHeight="true" outlineLevel="0" collapsed="false">
      <c r="A47" s="23" t="s">
        <v>202</v>
      </c>
      <c r="B47" s="23" t="s">
        <v>203</v>
      </c>
      <c r="C47" s="23" t="s">
        <v>204</v>
      </c>
      <c r="D47" s="23" t="s">
        <v>147</v>
      </c>
      <c r="E47" s="24" t="s">
        <v>162</v>
      </c>
      <c r="F47" s="24" t="n">
        <v>157</v>
      </c>
      <c r="G47" s="24" t="n">
        <v>2.5</v>
      </c>
      <c r="H47" s="24" t="n">
        <f aca="false">F47/G47</f>
        <v>62.8</v>
      </c>
      <c r="I47" s="24" t="n">
        <v>52.6</v>
      </c>
      <c r="J47" s="24" t="n">
        <v>5.3</v>
      </c>
      <c r="K47" s="24" t="n">
        <v>25</v>
      </c>
    </row>
    <row r="48" customFormat="false" ht="15" hidden="false" customHeight="true" outlineLevel="0" collapsed="false">
      <c r="A48" s="23" t="s">
        <v>205</v>
      </c>
      <c r="B48" s="23" t="s">
        <v>206</v>
      </c>
      <c r="C48" s="23" t="s">
        <v>207</v>
      </c>
      <c r="D48" s="23" t="s">
        <v>77</v>
      </c>
      <c r="E48" s="24" t="s">
        <v>162</v>
      </c>
      <c r="F48" s="24" t="n">
        <v>137</v>
      </c>
      <c r="G48" s="24" t="n">
        <v>2.5</v>
      </c>
      <c r="H48" s="24" t="n">
        <f aca="false">F48/G48</f>
        <v>54.8</v>
      </c>
      <c r="I48" s="24" t="n">
        <v>73.3</v>
      </c>
      <c r="J48" s="24" t="n">
        <v>11.7</v>
      </c>
      <c r="K48" s="24" t="n">
        <v>25</v>
      </c>
    </row>
    <row r="49" customFormat="false" ht="15" hidden="false" customHeight="true" outlineLevel="0" collapsed="false">
      <c r="A49" s="23" t="s">
        <v>208</v>
      </c>
      <c r="B49" s="23" t="s">
        <v>209</v>
      </c>
      <c r="C49" s="23" t="s">
        <v>210</v>
      </c>
      <c r="D49" s="23" t="s">
        <v>77</v>
      </c>
      <c r="E49" s="24" t="s">
        <v>162</v>
      </c>
      <c r="F49" s="24" t="n">
        <v>131</v>
      </c>
      <c r="G49" s="24" t="n">
        <v>2.5</v>
      </c>
      <c r="H49" s="24" t="n">
        <f aca="false">F49/G49</f>
        <v>52.4</v>
      </c>
      <c r="I49" s="24" t="n">
        <v>67.5</v>
      </c>
      <c r="J49" s="24" t="n">
        <v>10.7</v>
      </c>
      <c r="K49" s="24" t="n">
        <v>25</v>
      </c>
    </row>
    <row r="50" customFormat="false" ht="15" hidden="false" customHeight="true" outlineLevel="0" collapsed="false">
      <c r="A50" s="23" t="s">
        <v>211</v>
      </c>
      <c r="B50" s="23" t="s">
        <v>212</v>
      </c>
      <c r="C50" s="23" t="s">
        <v>213</v>
      </c>
      <c r="D50" s="23" t="s">
        <v>77</v>
      </c>
      <c r="E50" s="24" t="s">
        <v>162</v>
      </c>
      <c r="F50" s="24" t="n">
        <v>123</v>
      </c>
      <c r="G50" s="24" t="n">
        <v>2.5</v>
      </c>
      <c r="H50" s="24" t="n">
        <f aca="false">F50/G50</f>
        <v>49.2</v>
      </c>
      <c r="I50" s="24" t="n">
        <v>92.9</v>
      </c>
      <c r="J50" s="24" t="n">
        <v>12.2</v>
      </c>
      <c r="K50" s="24" t="n">
        <v>25</v>
      </c>
    </row>
    <row r="51" customFormat="false" ht="15" hidden="false" customHeight="true" outlineLevel="0" collapsed="false">
      <c r="A51" s="23" t="s">
        <v>214</v>
      </c>
      <c r="B51" s="23" t="s">
        <v>215</v>
      </c>
      <c r="C51" s="23" t="s">
        <v>216</v>
      </c>
      <c r="D51" s="23" t="s">
        <v>77</v>
      </c>
      <c r="E51" s="24" t="s">
        <v>162</v>
      </c>
      <c r="F51" s="24" t="n">
        <v>109</v>
      </c>
      <c r="G51" s="24" t="n">
        <v>2.5</v>
      </c>
      <c r="H51" s="24" t="n">
        <f aca="false">F51/G51</f>
        <v>43.6</v>
      </c>
      <c r="I51" s="24" t="n">
        <v>73.3</v>
      </c>
      <c r="J51" s="24" t="n">
        <v>18.2</v>
      </c>
      <c r="K51" s="24" t="n">
        <v>25</v>
      </c>
    </row>
    <row r="52" customFormat="false" ht="15" hidden="false" customHeight="true" outlineLevel="0" collapsed="false">
      <c r="A52" s="23" t="s">
        <v>217</v>
      </c>
      <c r="B52" s="23" t="s">
        <v>218</v>
      </c>
      <c r="C52" s="23" t="s">
        <v>219</v>
      </c>
      <c r="D52" s="23" t="s">
        <v>77</v>
      </c>
      <c r="E52" s="24" t="s">
        <v>162</v>
      </c>
      <c r="F52" s="24" t="n">
        <v>106</v>
      </c>
      <c r="G52" s="24" t="n">
        <v>2.5</v>
      </c>
      <c r="H52" s="24" t="n">
        <f aca="false">F52/G52</f>
        <v>42.4</v>
      </c>
      <c r="I52" s="24" t="n">
        <v>50.8</v>
      </c>
      <c r="J52" s="24" t="n">
        <v>14.3</v>
      </c>
      <c r="K52" s="24" t="n">
        <v>25</v>
      </c>
    </row>
    <row r="53" customFormat="false" ht="15" hidden="false" customHeight="true" outlineLevel="0" collapsed="false">
      <c r="A53" s="23" t="s">
        <v>220</v>
      </c>
      <c r="B53" s="23" t="s">
        <v>221</v>
      </c>
      <c r="C53" s="23" t="s">
        <v>222</v>
      </c>
      <c r="D53" s="23" t="s">
        <v>147</v>
      </c>
      <c r="E53" s="24" t="s">
        <v>162</v>
      </c>
      <c r="F53" s="24" t="n">
        <v>86</v>
      </c>
      <c r="G53" s="24" t="n">
        <v>2.5</v>
      </c>
      <c r="H53" s="24" t="n">
        <f aca="false">F53/G53</f>
        <v>34.4</v>
      </c>
      <c r="I53" s="24" t="n">
        <v>45.1</v>
      </c>
      <c r="J53" s="24" t="n">
        <v>11</v>
      </c>
      <c r="K53" s="24" t="n">
        <v>25</v>
      </c>
    </row>
    <row r="54" customFormat="false" ht="15" hidden="false" customHeight="true" outlineLevel="0" collapsed="false">
      <c r="A54" s="23" t="s">
        <v>223</v>
      </c>
      <c r="B54" s="23" t="s">
        <v>224</v>
      </c>
      <c r="C54" s="23" t="s">
        <v>225</v>
      </c>
      <c r="D54" s="23" t="s">
        <v>77</v>
      </c>
      <c r="E54" s="24" t="s">
        <v>162</v>
      </c>
      <c r="F54" s="24" t="n">
        <v>80</v>
      </c>
      <c r="G54" s="24" t="n">
        <v>2.5</v>
      </c>
      <c r="H54" s="24" t="n">
        <f aca="false">F54/G54</f>
        <v>32</v>
      </c>
      <c r="I54" s="24" t="n">
        <v>67.5</v>
      </c>
      <c r="J54" s="24" t="n">
        <v>21.6</v>
      </c>
      <c r="K54" s="24" t="n">
        <v>25</v>
      </c>
    </row>
    <row r="55" customFormat="false" ht="15" hidden="false" customHeight="true" outlineLevel="0" collapsed="false">
      <c r="A55" s="23" t="s">
        <v>226</v>
      </c>
      <c r="B55" s="23" t="s">
        <v>227</v>
      </c>
      <c r="C55" s="23" t="s">
        <v>228</v>
      </c>
      <c r="D55" s="23" t="s">
        <v>77</v>
      </c>
      <c r="E55" s="24" t="s">
        <v>162</v>
      </c>
      <c r="F55" s="24" t="n">
        <v>80</v>
      </c>
      <c r="G55" s="24" t="n">
        <v>2.5</v>
      </c>
      <c r="H55" s="24" t="n">
        <f aca="false">F55/G55</f>
        <v>32</v>
      </c>
      <c r="I55" s="24" t="n">
        <v>52</v>
      </c>
      <c r="J55" s="24" t="n">
        <v>18.9</v>
      </c>
      <c r="K55" s="24" t="n">
        <v>25</v>
      </c>
    </row>
    <row r="56" customFormat="false" ht="15" hidden="false" customHeight="true" outlineLevel="0" collapsed="false">
      <c r="A56" s="23" t="s">
        <v>229</v>
      </c>
      <c r="B56" s="23" t="s">
        <v>230</v>
      </c>
      <c r="C56" s="23" t="s">
        <v>231</v>
      </c>
      <c r="D56" s="23" t="s">
        <v>77</v>
      </c>
      <c r="E56" s="24" t="s">
        <v>162</v>
      </c>
      <c r="F56" s="24" t="n">
        <v>77</v>
      </c>
      <c r="G56" s="24" t="n">
        <v>2.5</v>
      </c>
      <c r="H56" s="24" t="n">
        <f aca="false">F56/G56</f>
        <v>30.8</v>
      </c>
      <c r="I56" s="24" t="n">
        <v>48.5</v>
      </c>
      <c r="J56" s="24" t="n">
        <v>25.7</v>
      </c>
      <c r="K56" s="24" t="n">
        <v>25</v>
      </c>
    </row>
    <row r="57" customFormat="false" ht="15" hidden="false" customHeight="true" outlineLevel="0" collapsed="false">
      <c r="A57" s="23" t="s">
        <v>232</v>
      </c>
      <c r="B57" s="23" t="s">
        <v>233</v>
      </c>
      <c r="C57" s="23" t="s">
        <v>234</v>
      </c>
      <c r="D57" s="23" t="s">
        <v>77</v>
      </c>
      <c r="E57" s="24" t="s">
        <v>162</v>
      </c>
      <c r="F57" s="24" t="n">
        <v>75</v>
      </c>
      <c r="G57" s="24" t="n">
        <v>2.5</v>
      </c>
      <c r="H57" s="24" t="n">
        <f aca="false">F57/G57</f>
        <v>30</v>
      </c>
      <c r="I57" s="24" t="n">
        <v>51.4</v>
      </c>
      <c r="J57" s="24" t="n">
        <v>9.6</v>
      </c>
      <c r="K57" s="24" t="n">
        <v>25</v>
      </c>
    </row>
    <row r="58" customFormat="false" ht="15" hidden="false" customHeight="true" outlineLevel="0" collapsed="false">
      <c r="A58" s="23" t="s">
        <v>235</v>
      </c>
      <c r="B58" s="23" t="s">
        <v>236</v>
      </c>
      <c r="C58" s="23" t="s">
        <v>237</v>
      </c>
      <c r="D58" s="23" t="s">
        <v>77</v>
      </c>
      <c r="E58" s="24" t="s">
        <v>162</v>
      </c>
      <c r="F58" s="24" t="n">
        <v>73</v>
      </c>
      <c r="G58" s="24" t="n">
        <v>2.5</v>
      </c>
      <c r="H58" s="24" t="n">
        <f aca="false">F58/G58</f>
        <v>29.2</v>
      </c>
      <c r="I58" s="24" t="n">
        <v>39.9</v>
      </c>
      <c r="J58" s="24" t="n">
        <v>25.4</v>
      </c>
      <c r="K58" s="24" t="n">
        <v>25</v>
      </c>
    </row>
    <row r="59" customFormat="false" ht="15" hidden="false" customHeight="true" outlineLevel="0" collapsed="false">
      <c r="A59" s="23" t="s">
        <v>238</v>
      </c>
      <c r="B59" s="23" t="s">
        <v>239</v>
      </c>
      <c r="C59" s="23" t="s">
        <v>240</v>
      </c>
      <c r="D59" s="23" t="s">
        <v>77</v>
      </c>
      <c r="E59" s="24" t="s">
        <v>162</v>
      </c>
      <c r="F59" s="24" t="n">
        <v>71</v>
      </c>
      <c r="G59" s="24" t="n">
        <v>2.5</v>
      </c>
      <c r="H59" s="24" t="n">
        <f aca="false">F59/G59</f>
        <v>28.4</v>
      </c>
      <c r="I59" s="24" t="n">
        <v>106.6</v>
      </c>
      <c r="J59" s="24" t="n">
        <v>23.9</v>
      </c>
      <c r="K59" s="24" t="n">
        <v>25</v>
      </c>
    </row>
    <row r="60" customFormat="false" ht="15" hidden="false" customHeight="true" outlineLevel="0" collapsed="false">
      <c r="A60" s="23" t="s">
        <v>241</v>
      </c>
      <c r="B60" s="23" t="s">
        <v>242</v>
      </c>
      <c r="C60" s="23" t="s">
        <v>243</v>
      </c>
      <c r="D60" s="23" t="s">
        <v>77</v>
      </c>
      <c r="E60" s="24" t="s">
        <v>162</v>
      </c>
      <c r="F60" s="24" t="n">
        <v>70</v>
      </c>
      <c r="G60" s="24" t="n">
        <v>2.5</v>
      </c>
      <c r="H60" s="24" t="n">
        <f aca="false">F60/G60</f>
        <v>28</v>
      </c>
      <c r="I60" s="24" t="n">
        <v>48.4</v>
      </c>
      <c r="J60" s="24" t="n">
        <v>29.2</v>
      </c>
      <c r="K60" s="24" t="n">
        <v>25</v>
      </c>
    </row>
    <row r="61" customFormat="false" ht="15" hidden="false" customHeight="true" outlineLevel="0" collapsed="false">
      <c r="A61" s="23" t="s">
        <v>244</v>
      </c>
      <c r="B61" s="23" t="s">
        <v>245</v>
      </c>
      <c r="C61" s="23" t="s">
        <v>246</v>
      </c>
      <c r="D61" s="23" t="s">
        <v>77</v>
      </c>
      <c r="E61" s="24" t="s">
        <v>162</v>
      </c>
      <c r="F61" s="24" t="n">
        <v>68</v>
      </c>
      <c r="G61" s="24" t="n">
        <v>2.5</v>
      </c>
      <c r="H61" s="24" t="n">
        <f aca="false">F61/G61</f>
        <v>27.2</v>
      </c>
      <c r="I61" s="24" t="n">
        <v>102.6</v>
      </c>
      <c r="J61" s="24" t="n">
        <v>29.5</v>
      </c>
      <c r="K61" s="24" t="n">
        <v>25</v>
      </c>
    </row>
    <row r="62" customFormat="false" ht="15" hidden="false" customHeight="true" outlineLevel="0" collapsed="false">
      <c r="A62" s="23" t="s">
        <v>247</v>
      </c>
      <c r="B62" s="23" t="s">
        <v>248</v>
      </c>
      <c r="C62" s="23" t="s">
        <v>228</v>
      </c>
      <c r="D62" s="23" t="s">
        <v>77</v>
      </c>
      <c r="E62" s="24" t="s">
        <v>162</v>
      </c>
      <c r="F62" s="24" t="n">
        <v>66</v>
      </c>
      <c r="G62" s="24" t="n">
        <v>2.5</v>
      </c>
      <c r="H62" s="24" t="n">
        <f aca="false">F62/G62</f>
        <v>26.4</v>
      </c>
      <c r="I62" s="24" t="n">
        <v>51.9</v>
      </c>
      <c r="J62" s="24" t="n">
        <v>18.4</v>
      </c>
      <c r="K62" s="24" t="n">
        <v>25</v>
      </c>
    </row>
    <row r="63" customFormat="false" ht="15" hidden="false" customHeight="true" outlineLevel="0" collapsed="false">
      <c r="A63" s="23" t="s">
        <v>249</v>
      </c>
      <c r="B63" s="23" t="s">
        <v>250</v>
      </c>
      <c r="C63" s="23" t="s">
        <v>251</v>
      </c>
      <c r="D63" s="23" t="s">
        <v>77</v>
      </c>
      <c r="E63" s="24" t="s">
        <v>162</v>
      </c>
      <c r="F63" s="24" t="n">
        <v>64</v>
      </c>
      <c r="G63" s="24" t="n">
        <v>2.5</v>
      </c>
      <c r="H63" s="24" t="n">
        <f aca="false">F63/G63</f>
        <v>25.6</v>
      </c>
      <c r="I63" s="24" t="n">
        <v>30.3</v>
      </c>
      <c r="J63" s="24" t="n">
        <v>20.8</v>
      </c>
      <c r="K63" s="24" t="n">
        <v>25</v>
      </c>
    </row>
    <row r="64" customFormat="false" ht="15" hidden="false" customHeight="true" outlineLevel="0" collapsed="false">
      <c r="A64" s="23" t="s">
        <v>252</v>
      </c>
      <c r="B64" s="23" t="s">
        <v>253</v>
      </c>
      <c r="C64" s="23" t="s">
        <v>254</v>
      </c>
      <c r="D64" s="23" t="s">
        <v>77</v>
      </c>
      <c r="E64" s="24" t="s">
        <v>162</v>
      </c>
      <c r="F64" s="24" t="n">
        <v>56</v>
      </c>
      <c r="G64" s="24" t="n">
        <v>2.5</v>
      </c>
      <c r="H64" s="24" t="n">
        <f aca="false">F64/G64</f>
        <v>22.4</v>
      </c>
      <c r="I64" s="24" t="n">
        <v>30.3</v>
      </c>
      <c r="J64" s="24" t="n">
        <v>31.9</v>
      </c>
      <c r="K64" s="24" t="n">
        <v>25</v>
      </c>
    </row>
    <row r="65" customFormat="false" ht="15" hidden="false" customHeight="true" outlineLevel="0" collapsed="false">
      <c r="A65" s="23" t="s">
        <v>255</v>
      </c>
      <c r="B65" s="23" t="s">
        <v>256</v>
      </c>
      <c r="C65" s="23" t="s">
        <v>257</v>
      </c>
      <c r="D65" s="23" t="s">
        <v>77</v>
      </c>
      <c r="E65" s="24" t="s">
        <v>162</v>
      </c>
      <c r="F65" s="24" t="n">
        <v>52</v>
      </c>
      <c r="G65" s="24" t="n">
        <v>2.5</v>
      </c>
      <c r="H65" s="24" t="n">
        <f aca="false">F65/G65</f>
        <v>20.8</v>
      </c>
      <c r="I65" s="24" t="n">
        <v>41.4</v>
      </c>
      <c r="J65" s="24" t="n">
        <v>19.2</v>
      </c>
      <c r="K65" s="24" t="n">
        <v>25</v>
      </c>
    </row>
    <row r="66" customFormat="false" ht="15" hidden="false" customHeight="true" outlineLevel="0" collapsed="false">
      <c r="A66" s="23" t="s">
        <v>258</v>
      </c>
      <c r="B66" s="23" t="s">
        <v>259</v>
      </c>
      <c r="C66" s="23" t="s">
        <v>260</v>
      </c>
      <c r="D66" s="23" t="s">
        <v>77</v>
      </c>
      <c r="E66" s="24" t="s">
        <v>162</v>
      </c>
      <c r="F66" s="24" t="n">
        <v>50</v>
      </c>
      <c r="G66" s="24" t="n">
        <v>2.5</v>
      </c>
      <c r="H66" s="24" t="n">
        <f aca="false">F66/G66</f>
        <v>20</v>
      </c>
      <c r="I66" s="24" t="n">
        <v>34.4</v>
      </c>
      <c r="J66" s="24" t="n">
        <v>34</v>
      </c>
      <c r="K66" s="24" t="n">
        <v>25</v>
      </c>
    </row>
    <row r="67" customFormat="false" ht="15" hidden="false" customHeight="true" outlineLevel="0" collapsed="false">
      <c r="A67" s="23" t="s">
        <v>261</v>
      </c>
      <c r="B67" s="23" t="s">
        <v>262</v>
      </c>
      <c r="C67" s="23"/>
      <c r="D67" s="23"/>
      <c r="E67" s="24" t="s">
        <v>162</v>
      </c>
      <c r="F67" s="24" t="n">
        <v>48</v>
      </c>
      <c r="G67" s="24" t="n">
        <v>2.5</v>
      </c>
      <c r="H67" s="24" t="n">
        <f aca="false">F67/G67</f>
        <v>19.2</v>
      </c>
      <c r="I67" s="24" t="n">
        <v>102.6</v>
      </c>
      <c r="J67" s="24" t="n">
        <v>27.2</v>
      </c>
      <c r="K67" s="24" t="n">
        <v>25</v>
      </c>
    </row>
    <row r="68" customFormat="false" ht="15" hidden="false" customHeight="true" outlineLevel="0" collapsed="false">
      <c r="A68" s="23" t="s">
        <v>263</v>
      </c>
      <c r="B68" s="23" t="s">
        <v>264</v>
      </c>
      <c r="C68" s="23" t="s">
        <v>265</v>
      </c>
      <c r="D68" s="23" t="s">
        <v>77</v>
      </c>
      <c r="E68" s="24" t="s">
        <v>162</v>
      </c>
      <c r="F68" s="24" t="n">
        <v>38</v>
      </c>
      <c r="G68" s="24" t="n">
        <v>2.5</v>
      </c>
      <c r="H68" s="24" t="n">
        <f aca="false">F68/G68</f>
        <v>15.2</v>
      </c>
      <c r="I68" s="24" t="n">
        <v>34.7</v>
      </c>
      <c r="J68" s="24" t="n">
        <v>27.3</v>
      </c>
      <c r="K68" s="24" t="n">
        <v>25</v>
      </c>
    </row>
    <row r="69" customFormat="false" ht="15" hidden="false" customHeight="true" outlineLevel="0" collapsed="false">
      <c r="A69" s="23" t="s">
        <v>266</v>
      </c>
      <c r="B69" s="23" t="s">
        <v>267</v>
      </c>
      <c r="C69" s="23" t="s">
        <v>268</v>
      </c>
      <c r="D69" s="23" t="s">
        <v>77</v>
      </c>
      <c r="E69" s="24" t="s">
        <v>162</v>
      </c>
      <c r="F69" s="24" t="n">
        <v>37</v>
      </c>
      <c r="G69" s="24" t="n">
        <v>2.5</v>
      </c>
      <c r="H69" s="24" t="n">
        <f aca="false">F69/G69</f>
        <v>14.8</v>
      </c>
      <c r="I69" s="24" t="n">
        <v>34.7</v>
      </c>
      <c r="J69" s="24" t="n">
        <v>21.8</v>
      </c>
      <c r="K69" s="24" t="n">
        <v>25</v>
      </c>
    </row>
    <row r="70" customFormat="false" ht="15" hidden="false" customHeight="true" outlineLevel="0" collapsed="false">
      <c r="A70" s="23" t="s">
        <v>269</v>
      </c>
      <c r="B70" s="23" t="s">
        <v>270</v>
      </c>
      <c r="C70" s="23" t="s">
        <v>271</v>
      </c>
      <c r="D70" s="23" t="s">
        <v>77</v>
      </c>
      <c r="E70" s="24" t="s">
        <v>162</v>
      </c>
      <c r="F70" s="24" t="n">
        <v>36</v>
      </c>
      <c r="G70" s="24" t="n">
        <v>2.5</v>
      </c>
      <c r="H70" s="24" t="n">
        <f aca="false">F70/G70</f>
        <v>14.4</v>
      </c>
      <c r="I70" s="24" t="n">
        <v>31.2</v>
      </c>
      <c r="J70" s="24" t="n">
        <v>61.2</v>
      </c>
      <c r="K70" s="24" t="n">
        <v>25</v>
      </c>
    </row>
    <row r="71" customFormat="false" ht="15" hidden="false" customHeight="true" outlineLevel="0" collapsed="false">
      <c r="A71" s="23" t="s">
        <v>272</v>
      </c>
      <c r="B71" s="23" t="s">
        <v>273</v>
      </c>
      <c r="C71" s="23" t="s">
        <v>99</v>
      </c>
      <c r="D71" s="23" t="s">
        <v>178</v>
      </c>
      <c r="E71" s="24" t="s">
        <v>162</v>
      </c>
      <c r="F71" s="24" t="n">
        <v>1</v>
      </c>
      <c r="G71" s="24" t="n">
        <v>2.5</v>
      </c>
      <c r="H71" s="24" t="n">
        <f aca="false">F71/G71</f>
        <v>0.4</v>
      </c>
      <c r="I71" s="24" t="n">
        <v>46.8</v>
      </c>
      <c r="J71" s="24" t="n">
        <v>921</v>
      </c>
      <c r="K71" s="24" t="n">
        <v>25</v>
      </c>
    </row>
    <row r="72" customFormat="false" ht="15" hidden="false" customHeight="true" outlineLevel="0" collapsed="false">
      <c r="A72" s="13" t="s">
        <v>274</v>
      </c>
      <c r="B72" s="13" t="s">
        <v>275</v>
      </c>
      <c r="C72" s="13" t="s">
        <v>276</v>
      </c>
      <c r="D72" s="13" t="s">
        <v>147</v>
      </c>
      <c r="E72" s="14" t="s">
        <v>277</v>
      </c>
      <c r="F72" s="14" t="n">
        <v>365</v>
      </c>
      <c r="G72" s="14" t="n">
        <v>2</v>
      </c>
      <c r="H72" s="14" t="n">
        <f aca="false">F72/G72</f>
        <v>182.5</v>
      </c>
      <c r="I72" s="14" t="n">
        <v>49.8</v>
      </c>
      <c r="J72" s="14" t="n">
        <v>2</v>
      </c>
      <c r="K72" s="14" t="n">
        <v>47.5</v>
      </c>
    </row>
    <row r="73" customFormat="false" ht="15" hidden="false" customHeight="true" outlineLevel="0" collapsed="false">
      <c r="A73" s="13" t="s">
        <v>278</v>
      </c>
      <c r="B73" s="13" t="s">
        <v>279</v>
      </c>
      <c r="C73" s="13" t="s">
        <v>280</v>
      </c>
      <c r="D73" s="13" t="s">
        <v>147</v>
      </c>
      <c r="E73" s="14" t="s">
        <v>277</v>
      </c>
      <c r="F73" s="14" t="n">
        <v>214</v>
      </c>
      <c r="G73" s="14" t="n">
        <v>2</v>
      </c>
      <c r="H73" s="14" t="n">
        <f aca="false">F73/G73</f>
        <v>107</v>
      </c>
      <c r="I73" s="14" t="n">
        <v>63.7</v>
      </c>
      <c r="J73" s="14" t="n">
        <v>3.1</v>
      </c>
      <c r="K73" s="14" t="n">
        <v>47.5</v>
      </c>
    </row>
    <row r="74" customFormat="false" ht="15" hidden="false" customHeight="true" outlineLevel="0" collapsed="false">
      <c r="A74" s="13" t="s">
        <v>281</v>
      </c>
      <c r="B74" s="13" t="s">
        <v>282</v>
      </c>
      <c r="C74" s="13" t="s">
        <v>283</v>
      </c>
      <c r="D74" s="13" t="s">
        <v>147</v>
      </c>
      <c r="E74" s="14" t="s">
        <v>277</v>
      </c>
      <c r="F74" s="14" t="n">
        <v>214</v>
      </c>
      <c r="G74" s="14" t="n">
        <v>2</v>
      </c>
      <c r="H74" s="14" t="n">
        <f aca="false">F74/G74</f>
        <v>107</v>
      </c>
      <c r="I74" s="14" t="n">
        <v>26.8</v>
      </c>
      <c r="J74" s="14" t="n">
        <v>2</v>
      </c>
      <c r="K74" s="14" t="n">
        <v>47.5</v>
      </c>
    </row>
    <row r="75" customFormat="false" ht="15" hidden="false" customHeight="true" outlineLevel="0" collapsed="false">
      <c r="A75" s="13" t="s">
        <v>284</v>
      </c>
      <c r="B75" s="13" t="s">
        <v>285</v>
      </c>
      <c r="C75" s="13" t="s">
        <v>286</v>
      </c>
      <c r="D75" s="13" t="s">
        <v>147</v>
      </c>
      <c r="E75" s="14" t="s">
        <v>277</v>
      </c>
      <c r="F75" s="14" t="n">
        <v>198</v>
      </c>
      <c r="G75" s="14" t="n">
        <v>2</v>
      </c>
      <c r="H75" s="14" t="n">
        <f aca="false">F75/G75</f>
        <v>99</v>
      </c>
      <c r="I75" s="14" t="n">
        <v>74.2</v>
      </c>
      <c r="J75" s="14" t="n">
        <v>1.5</v>
      </c>
      <c r="K75" s="14" t="n">
        <v>47.5</v>
      </c>
    </row>
    <row r="76" customFormat="false" ht="15" hidden="false" customHeight="true" outlineLevel="0" collapsed="false">
      <c r="A76" s="13" t="s">
        <v>287</v>
      </c>
      <c r="B76" s="13" t="s">
        <v>288</v>
      </c>
      <c r="C76" s="13" t="s">
        <v>289</v>
      </c>
      <c r="D76" s="13" t="s">
        <v>178</v>
      </c>
      <c r="E76" s="14" t="s">
        <v>277</v>
      </c>
      <c r="F76" s="14" t="n">
        <v>186</v>
      </c>
      <c r="G76" s="14" t="n">
        <v>2</v>
      </c>
      <c r="H76" s="14" t="n">
        <f aca="false">F76/G76</f>
        <v>93</v>
      </c>
      <c r="I76" s="14" t="n">
        <v>9.8</v>
      </c>
      <c r="J76" s="14" t="n">
        <v>2.9</v>
      </c>
      <c r="K76" s="14" t="n">
        <v>47.5</v>
      </c>
    </row>
    <row r="77" customFormat="false" ht="15" hidden="false" customHeight="true" outlineLevel="0" collapsed="false">
      <c r="A77" s="13" t="s">
        <v>290</v>
      </c>
      <c r="B77" s="13" t="s">
        <v>291</v>
      </c>
      <c r="C77" s="13" t="s">
        <v>292</v>
      </c>
      <c r="D77" s="13" t="s">
        <v>178</v>
      </c>
      <c r="E77" s="14" t="s">
        <v>277</v>
      </c>
      <c r="F77" s="14" t="n">
        <v>160</v>
      </c>
      <c r="G77" s="14" t="n">
        <v>2</v>
      </c>
      <c r="H77" s="14" t="n">
        <f aca="false">F77/G77</f>
        <v>80</v>
      </c>
      <c r="I77" s="14" t="n">
        <v>10.1</v>
      </c>
      <c r="J77" s="14" t="n">
        <v>3.4</v>
      </c>
      <c r="K77" s="14" t="n">
        <v>47.5</v>
      </c>
    </row>
    <row r="78" customFormat="false" ht="15" hidden="false" customHeight="true" outlineLevel="0" collapsed="false">
      <c r="A78" s="13" t="s">
        <v>293</v>
      </c>
      <c r="B78" s="13" t="s">
        <v>294</v>
      </c>
      <c r="C78" s="13" t="s">
        <v>195</v>
      </c>
      <c r="D78" s="13" t="s">
        <v>147</v>
      </c>
      <c r="E78" s="14" t="s">
        <v>277</v>
      </c>
      <c r="F78" s="14" t="n">
        <v>152</v>
      </c>
      <c r="G78" s="14" t="n">
        <v>2</v>
      </c>
      <c r="H78" s="14" t="n">
        <f aca="false">F78/G78</f>
        <v>76</v>
      </c>
      <c r="I78" s="14" t="n">
        <v>132.2</v>
      </c>
      <c r="J78" s="14" t="n">
        <v>4.9</v>
      </c>
      <c r="K78" s="14" t="n">
        <v>47.5</v>
      </c>
    </row>
    <row r="79" customFormat="false" ht="15" hidden="false" customHeight="true" outlineLevel="0" collapsed="false">
      <c r="A79" s="13" t="s">
        <v>295</v>
      </c>
      <c r="B79" s="13" t="s">
        <v>296</v>
      </c>
      <c r="C79" s="13" t="s">
        <v>297</v>
      </c>
      <c r="D79" s="13" t="s">
        <v>147</v>
      </c>
      <c r="E79" s="14" t="s">
        <v>277</v>
      </c>
      <c r="F79" s="14" t="n">
        <v>150</v>
      </c>
      <c r="G79" s="14" t="n">
        <v>2</v>
      </c>
      <c r="H79" s="14" t="n">
        <f aca="false">F79/G79</f>
        <v>75</v>
      </c>
      <c r="I79" s="14" t="n">
        <v>53.4</v>
      </c>
      <c r="J79" s="14" t="n">
        <v>5.1</v>
      </c>
      <c r="K79" s="14" t="n">
        <v>47.5</v>
      </c>
    </row>
    <row r="80" customFormat="false" ht="15" hidden="false" customHeight="true" outlineLevel="0" collapsed="false">
      <c r="A80" s="13" t="s">
        <v>298</v>
      </c>
      <c r="B80" s="13" t="s">
        <v>299</v>
      </c>
      <c r="C80" s="13" t="s">
        <v>300</v>
      </c>
      <c r="D80" s="13" t="s">
        <v>147</v>
      </c>
      <c r="E80" s="14" t="s">
        <v>277</v>
      </c>
      <c r="F80" s="14" t="n">
        <v>123</v>
      </c>
      <c r="G80" s="14" t="n">
        <v>2</v>
      </c>
      <c r="H80" s="14" t="n">
        <f aca="false">F80/G80</f>
        <v>61.5</v>
      </c>
      <c r="I80" s="14" t="n">
        <v>40.9</v>
      </c>
      <c r="J80" s="14" t="n">
        <v>0.5</v>
      </c>
      <c r="K80" s="14" t="n">
        <v>47.5</v>
      </c>
    </row>
    <row r="81" customFormat="false" ht="15" hidden="false" customHeight="true" outlineLevel="0" collapsed="false">
      <c r="A81" s="13" t="s">
        <v>301</v>
      </c>
      <c r="B81" s="13" t="s">
        <v>302</v>
      </c>
      <c r="C81" s="13" t="s">
        <v>303</v>
      </c>
      <c r="D81" s="13" t="s">
        <v>147</v>
      </c>
      <c r="E81" s="14" t="s">
        <v>277</v>
      </c>
      <c r="F81" s="14" t="n">
        <v>111</v>
      </c>
      <c r="G81" s="14" t="n">
        <v>2</v>
      </c>
      <c r="H81" s="14" t="n">
        <f aca="false">F81/G81</f>
        <v>55.5</v>
      </c>
      <c r="I81" s="14" t="n">
        <v>70.7</v>
      </c>
      <c r="J81" s="14" t="n">
        <v>2.5</v>
      </c>
      <c r="K81" s="14" t="n">
        <v>47.5</v>
      </c>
    </row>
    <row r="82" customFormat="false" ht="15" hidden="false" customHeight="true" outlineLevel="0" collapsed="false">
      <c r="A82" s="13" t="s">
        <v>304</v>
      </c>
      <c r="B82" s="13" t="s">
        <v>305</v>
      </c>
      <c r="C82" s="13" t="s">
        <v>306</v>
      </c>
      <c r="D82" s="13" t="s">
        <v>147</v>
      </c>
      <c r="E82" s="14" t="s">
        <v>277</v>
      </c>
      <c r="F82" s="14" t="n">
        <v>111</v>
      </c>
      <c r="G82" s="14" t="n">
        <v>2</v>
      </c>
      <c r="H82" s="14" t="n">
        <f aca="false">F82/G82</f>
        <v>55.5</v>
      </c>
      <c r="I82" s="14" t="n">
        <v>161.4</v>
      </c>
      <c r="J82" s="14" t="n">
        <v>1.7</v>
      </c>
      <c r="K82" s="14" t="n">
        <v>47.5</v>
      </c>
    </row>
    <row r="83" customFormat="false" ht="15" hidden="false" customHeight="true" outlineLevel="0" collapsed="false">
      <c r="A83" s="13" t="s">
        <v>307</v>
      </c>
      <c r="B83" s="13" t="s">
        <v>308</v>
      </c>
      <c r="C83" s="13" t="s">
        <v>309</v>
      </c>
      <c r="D83" s="13" t="s">
        <v>147</v>
      </c>
      <c r="E83" s="14" t="s">
        <v>277</v>
      </c>
      <c r="F83" s="14" t="n">
        <v>109</v>
      </c>
      <c r="G83" s="14" t="n">
        <v>2</v>
      </c>
      <c r="H83" s="14" t="n">
        <f aca="false">F83/G83</f>
        <v>54.5</v>
      </c>
      <c r="I83" s="14" t="n">
        <v>52.4</v>
      </c>
      <c r="J83" s="14" t="n">
        <v>1.9</v>
      </c>
      <c r="K83" s="14" t="n">
        <v>47.5</v>
      </c>
    </row>
    <row r="84" customFormat="false" ht="15" hidden="false" customHeight="true" outlineLevel="0" collapsed="false">
      <c r="A84" s="13" t="s">
        <v>310</v>
      </c>
      <c r="B84" s="13" t="s">
        <v>311</v>
      </c>
      <c r="C84" s="13" t="s">
        <v>312</v>
      </c>
      <c r="D84" s="13" t="s">
        <v>147</v>
      </c>
      <c r="E84" s="14" t="s">
        <v>277</v>
      </c>
      <c r="F84" s="14" t="n">
        <v>101</v>
      </c>
      <c r="G84" s="14" t="n">
        <v>2</v>
      </c>
      <c r="H84" s="14" t="n">
        <f aca="false">F84/G84</f>
        <v>50.5</v>
      </c>
      <c r="I84" s="14" t="n">
        <v>35</v>
      </c>
      <c r="J84" s="14" t="n">
        <v>1.6</v>
      </c>
      <c r="K84" s="14" t="n">
        <v>47.5</v>
      </c>
    </row>
    <row r="85" customFormat="false" ht="15" hidden="false" customHeight="true" outlineLevel="0" collapsed="false">
      <c r="A85" s="13" t="s">
        <v>313</v>
      </c>
      <c r="B85" s="13" t="s">
        <v>314</v>
      </c>
      <c r="C85" s="13" t="s">
        <v>315</v>
      </c>
      <c r="D85" s="13" t="s">
        <v>178</v>
      </c>
      <c r="E85" s="14" t="s">
        <v>277</v>
      </c>
      <c r="F85" s="14" t="n">
        <v>96</v>
      </c>
      <c r="G85" s="14" t="n">
        <v>2</v>
      </c>
      <c r="H85" s="14" t="n">
        <f aca="false">F85/G85</f>
        <v>48</v>
      </c>
      <c r="I85" s="14" t="n">
        <v>57.9</v>
      </c>
      <c r="J85" s="14" t="n">
        <v>5.3</v>
      </c>
      <c r="K85" s="14" t="n">
        <v>47.5</v>
      </c>
    </row>
    <row r="86" customFormat="false" ht="15" hidden="false" customHeight="true" outlineLevel="0" collapsed="false">
      <c r="A86" s="13" t="s">
        <v>316</v>
      </c>
      <c r="B86" s="13" t="s">
        <v>317</v>
      </c>
      <c r="C86" s="13" t="s">
        <v>318</v>
      </c>
      <c r="D86" s="13" t="s">
        <v>147</v>
      </c>
      <c r="E86" s="14" t="s">
        <v>277</v>
      </c>
      <c r="F86" s="14" t="n">
        <v>83</v>
      </c>
      <c r="G86" s="14" t="n">
        <v>2</v>
      </c>
      <c r="H86" s="14" t="n">
        <f aca="false">F86/G86</f>
        <v>41.5</v>
      </c>
      <c r="I86" s="14" t="n">
        <v>54.7</v>
      </c>
      <c r="J86" s="14" t="n">
        <v>3.2</v>
      </c>
      <c r="K86" s="14" t="n">
        <v>47.5</v>
      </c>
    </row>
    <row r="87" customFormat="false" ht="15" hidden="false" customHeight="true" outlineLevel="0" collapsed="false">
      <c r="A87" s="13" t="s">
        <v>319</v>
      </c>
      <c r="B87" s="13" t="s">
        <v>320</v>
      </c>
      <c r="C87" s="13" t="s">
        <v>321</v>
      </c>
      <c r="D87" s="13" t="s">
        <v>178</v>
      </c>
      <c r="E87" s="14" t="s">
        <v>277</v>
      </c>
      <c r="F87" s="14" t="n">
        <v>82</v>
      </c>
      <c r="G87" s="14" t="n">
        <v>2</v>
      </c>
      <c r="H87" s="14" t="n">
        <f aca="false">F87/G87</f>
        <v>41</v>
      </c>
      <c r="I87" s="14" t="n">
        <v>17.2</v>
      </c>
      <c r="J87" s="14" t="n">
        <v>2.3</v>
      </c>
      <c r="K87" s="14" t="n">
        <v>47.5</v>
      </c>
    </row>
    <row r="88" customFormat="false" ht="15" hidden="false" customHeight="true" outlineLevel="0" collapsed="false">
      <c r="A88" s="13" t="s">
        <v>322</v>
      </c>
      <c r="B88" s="13" t="s">
        <v>323</v>
      </c>
      <c r="C88" s="13" t="s">
        <v>113</v>
      </c>
      <c r="D88" s="13" t="s">
        <v>77</v>
      </c>
      <c r="E88" s="14" t="s">
        <v>277</v>
      </c>
      <c r="F88" s="14" t="n">
        <v>80</v>
      </c>
      <c r="G88" s="14" t="n">
        <v>2</v>
      </c>
      <c r="H88" s="14" t="n">
        <f aca="false">F88/G88</f>
        <v>40</v>
      </c>
      <c r="I88" s="14" t="n">
        <v>95</v>
      </c>
      <c r="J88" s="14" t="n">
        <v>5.3</v>
      </c>
      <c r="K88" s="14" t="n">
        <v>47.5</v>
      </c>
    </row>
    <row r="89" customFormat="false" ht="15" hidden="false" customHeight="true" outlineLevel="0" collapsed="false">
      <c r="A89" s="13" t="s">
        <v>324</v>
      </c>
      <c r="B89" s="13" t="s">
        <v>325</v>
      </c>
      <c r="C89" s="13" t="s">
        <v>326</v>
      </c>
      <c r="D89" s="13" t="s">
        <v>147</v>
      </c>
      <c r="E89" s="14" t="s">
        <v>277</v>
      </c>
      <c r="F89" s="14" t="n">
        <v>79</v>
      </c>
      <c r="G89" s="14" t="n">
        <v>2</v>
      </c>
      <c r="H89" s="14" t="n">
        <f aca="false">F89/G89</f>
        <v>39.5</v>
      </c>
      <c r="I89" s="14" t="n">
        <v>23.4</v>
      </c>
      <c r="J89" s="14" t="n">
        <v>2.3</v>
      </c>
      <c r="K89" s="14" t="n">
        <v>47.5</v>
      </c>
    </row>
    <row r="90" customFormat="false" ht="15" hidden="false" customHeight="true" outlineLevel="0" collapsed="false">
      <c r="A90" s="13" t="s">
        <v>327</v>
      </c>
      <c r="B90" s="13" t="s">
        <v>328</v>
      </c>
      <c r="C90" s="13" t="s">
        <v>329</v>
      </c>
      <c r="D90" s="13" t="s">
        <v>77</v>
      </c>
      <c r="E90" s="14" t="s">
        <v>277</v>
      </c>
      <c r="F90" s="14" t="n">
        <v>72</v>
      </c>
      <c r="G90" s="14" t="n">
        <v>2</v>
      </c>
      <c r="H90" s="14" t="n">
        <f aca="false">F90/G90</f>
        <v>36</v>
      </c>
      <c r="I90" s="14" t="n">
        <v>54.1</v>
      </c>
      <c r="J90" s="14" t="n">
        <v>6</v>
      </c>
      <c r="K90" s="14" t="n">
        <v>47.5</v>
      </c>
    </row>
    <row r="91" customFormat="false" ht="15" hidden="false" customHeight="true" outlineLevel="0" collapsed="false">
      <c r="A91" s="13" t="s">
        <v>330</v>
      </c>
      <c r="B91" s="13" t="s">
        <v>331</v>
      </c>
      <c r="C91" s="13" t="s">
        <v>332</v>
      </c>
      <c r="D91" s="13" t="s">
        <v>147</v>
      </c>
      <c r="E91" s="14" t="s">
        <v>277</v>
      </c>
      <c r="F91" s="14" t="n">
        <v>72</v>
      </c>
      <c r="G91" s="14" t="n">
        <v>2</v>
      </c>
      <c r="H91" s="14" t="n">
        <f aca="false">F91/G91</f>
        <v>36</v>
      </c>
      <c r="I91" s="14" t="n">
        <v>46.5</v>
      </c>
      <c r="J91" s="14" t="n">
        <v>2.2</v>
      </c>
      <c r="K91" s="14" t="n">
        <v>47.5</v>
      </c>
    </row>
    <row r="92" customFormat="false" ht="15" hidden="false" customHeight="true" outlineLevel="0" collapsed="false">
      <c r="A92" s="13" t="s">
        <v>333</v>
      </c>
      <c r="B92" s="13" t="s">
        <v>334</v>
      </c>
      <c r="C92" s="13" t="s">
        <v>335</v>
      </c>
      <c r="D92" s="13" t="s">
        <v>147</v>
      </c>
      <c r="E92" s="14" t="s">
        <v>277</v>
      </c>
      <c r="F92" s="14" t="n">
        <v>69</v>
      </c>
      <c r="G92" s="14" t="n">
        <v>2</v>
      </c>
      <c r="H92" s="14" t="n">
        <f aca="false">F92/G92</f>
        <v>34.5</v>
      </c>
      <c r="I92" s="14" t="n">
        <v>93.5</v>
      </c>
      <c r="J92" s="14" t="n">
        <v>2.7</v>
      </c>
      <c r="K92" s="14" t="n">
        <v>47.5</v>
      </c>
    </row>
    <row r="93" customFormat="false" ht="15" hidden="false" customHeight="true" outlineLevel="0" collapsed="false">
      <c r="A93" s="13" t="s">
        <v>336</v>
      </c>
      <c r="B93" s="13" t="s">
        <v>337</v>
      </c>
      <c r="C93" s="13" t="s">
        <v>338</v>
      </c>
      <c r="D93" s="13" t="s">
        <v>147</v>
      </c>
      <c r="E93" s="14" t="s">
        <v>277</v>
      </c>
      <c r="F93" s="14" t="n">
        <v>65</v>
      </c>
      <c r="G93" s="14" t="n">
        <v>2</v>
      </c>
      <c r="H93" s="14" t="n">
        <f aca="false">F93/G93</f>
        <v>32.5</v>
      </c>
      <c r="I93" s="14" t="n">
        <v>43.4</v>
      </c>
      <c r="J93" s="14" t="n">
        <v>1.2</v>
      </c>
      <c r="K93" s="14" t="n">
        <v>47.5</v>
      </c>
    </row>
    <row r="94" customFormat="false" ht="15" hidden="false" customHeight="true" outlineLevel="0" collapsed="false">
      <c r="A94" s="13" t="s">
        <v>339</v>
      </c>
      <c r="B94" s="13" t="s">
        <v>340</v>
      </c>
      <c r="C94" s="13" t="s">
        <v>341</v>
      </c>
      <c r="D94" s="13" t="s">
        <v>178</v>
      </c>
      <c r="E94" s="14" t="s">
        <v>277</v>
      </c>
      <c r="F94" s="14" t="n">
        <v>63</v>
      </c>
      <c r="G94" s="14" t="n">
        <v>2</v>
      </c>
      <c r="H94" s="14" t="n">
        <f aca="false">F94/G94</f>
        <v>31.5</v>
      </c>
      <c r="I94" s="14" t="n">
        <v>12.9</v>
      </c>
      <c r="J94" s="14" t="n">
        <v>2.6</v>
      </c>
      <c r="K94" s="14" t="n">
        <v>47.5</v>
      </c>
    </row>
    <row r="95" customFormat="false" ht="15" hidden="false" customHeight="true" outlineLevel="0" collapsed="false">
      <c r="A95" s="13" t="s">
        <v>342</v>
      </c>
      <c r="B95" s="13" t="s">
        <v>343</v>
      </c>
      <c r="C95" s="13" t="s">
        <v>344</v>
      </c>
      <c r="D95" s="13" t="s">
        <v>147</v>
      </c>
      <c r="E95" s="14" t="s">
        <v>277</v>
      </c>
      <c r="F95" s="14" t="n">
        <v>63</v>
      </c>
      <c r="G95" s="14" t="n">
        <v>2</v>
      </c>
      <c r="H95" s="14" t="n">
        <f aca="false">F95/G95</f>
        <v>31.5</v>
      </c>
      <c r="I95" s="14" t="n">
        <v>101.7</v>
      </c>
      <c r="J95" s="14" t="n">
        <v>1.7</v>
      </c>
      <c r="K95" s="14" t="n">
        <v>47.5</v>
      </c>
    </row>
    <row r="96" customFormat="false" ht="15" hidden="false" customHeight="true" outlineLevel="0" collapsed="false">
      <c r="A96" s="13" t="s">
        <v>345</v>
      </c>
      <c r="B96" s="13" t="s">
        <v>346</v>
      </c>
      <c r="C96" s="13" t="s">
        <v>347</v>
      </c>
      <c r="D96" s="13" t="s">
        <v>77</v>
      </c>
      <c r="E96" s="14" t="s">
        <v>277</v>
      </c>
      <c r="F96" s="14" t="n">
        <v>62</v>
      </c>
      <c r="G96" s="14" t="n">
        <v>2</v>
      </c>
      <c r="H96" s="14" t="n">
        <f aca="false">F96/G96</f>
        <v>31</v>
      </c>
      <c r="I96" s="14" t="n">
        <v>121.3</v>
      </c>
      <c r="J96" s="14" t="n">
        <v>9.4</v>
      </c>
      <c r="K96" s="14" t="n">
        <v>47.5</v>
      </c>
    </row>
    <row r="97" customFormat="false" ht="15" hidden="false" customHeight="true" outlineLevel="0" collapsed="false">
      <c r="A97" s="13" t="s">
        <v>348</v>
      </c>
      <c r="B97" s="13" t="s">
        <v>349</v>
      </c>
      <c r="C97" s="13" t="s">
        <v>350</v>
      </c>
      <c r="D97" s="13" t="s">
        <v>178</v>
      </c>
      <c r="E97" s="14" t="s">
        <v>277</v>
      </c>
      <c r="F97" s="14" t="n">
        <v>59</v>
      </c>
      <c r="G97" s="14" t="n">
        <v>2</v>
      </c>
      <c r="H97" s="14" t="n">
        <f aca="false">F97/G97</f>
        <v>29.5</v>
      </c>
      <c r="I97" s="14" t="n">
        <v>57.5</v>
      </c>
      <c r="J97" s="14" t="n">
        <v>2</v>
      </c>
      <c r="K97" s="14" t="n">
        <v>47.5</v>
      </c>
    </row>
    <row r="98" customFormat="false" ht="15" hidden="false" customHeight="true" outlineLevel="0" collapsed="false">
      <c r="A98" s="13" t="s">
        <v>351</v>
      </c>
      <c r="B98" s="13" t="s">
        <v>352</v>
      </c>
      <c r="C98" s="13" t="s">
        <v>353</v>
      </c>
      <c r="D98" s="13" t="s">
        <v>147</v>
      </c>
      <c r="E98" s="14" t="s">
        <v>277</v>
      </c>
      <c r="F98" s="14" t="n">
        <v>59</v>
      </c>
      <c r="G98" s="14" t="n">
        <v>2</v>
      </c>
      <c r="H98" s="14" t="n">
        <f aca="false">F98/G98</f>
        <v>29.5</v>
      </c>
      <c r="I98" s="14" t="n">
        <v>112.8</v>
      </c>
      <c r="J98" s="14" t="n">
        <v>2.1</v>
      </c>
      <c r="K98" s="14" t="n">
        <v>47.5</v>
      </c>
    </row>
    <row r="99" customFormat="false" ht="15" hidden="false" customHeight="true" outlineLevel="0" collapsed="false">
      <c r="A99" s="13" t="s">
        <v>354</v>
      </c>
      <c r="B99" s="13" t="s">
        <v>355</v>
      </c>
      <c r="C99" s="13" t="s">
        <v>356</v>
      </c>
      <c r="D99" s="13" t="s">
        <v>178</v>
      </c>
      <c r="E99" s="14" t="s">
        <v>277</v>
      </c>
      <c r="F99" s="14" t="n">
        <v>59</v>
      </c>
      <c r="G99" s="14" t="n">
        <v>2</v>
      </c>
      <c r="H99" s="14" t="n">
        <f aca="false">F99/G99</f>
        <v>29.5</v>
      </c>
      <c r="I99" s="14" t="n">
        <v>42.4</v>
      </c>
      <c r="J99" s="14" t="n">
        <v>1.5</v>
      </c>
      <c r="K99" s="14" t="n">
        <v>47.5</v>
      </c>
    </row>
    <row r="100" customFormat="false" ht="15" hidden="false" customHeight="true" outlineLevel="0" collapsed="false">
      <c r="A100" s="13" t="s">
        <v>357</v>
      </c>
      <c r="B100" s="13" t="s">
        <v>358</v>
      </c>
      <c r="C100" s="13" t="s">
        <v>359</v>
      </c>
      <c r="D100" s="13" t="s">
        <v>178</v>
      </c>
      <c r="E100" s="14" t="s">
        <v>277</v>
      </c>
      <c r="F100" s="14" t="n">
        <v>58</v>
      </c>
      <c r="G100" s="14" t="n">
        <v>2</v>
      </c>
      <c r="H100" s="14" t="n">
        <f aca="false">F100/G100</f>
        <v>29</v>
      </c>
      <c r="I100" s="14" t="n">
        <v>29.3</v>
      </c>
      <c r="J100" s="14" t="n">
        <v>2.8</v>
      </c>
      <c r="K100" s="14" t="n">
        <v>47.5</v>
      </c>
    </row>
    <row r="101" customFormat="false" ht="15" hidden="false" customHeight="true" outlineLevel="0" collapsed="false">
      <c r="A101" s="13" t="s">
        <v>360</v>
      </c>
      <c r="B101" s="13" t="s">
        <v>361</v>
      </c>
      <c r="C101" s="13" t="s">
        <v>362</v>
      </c>
      <c r="D101" s="13" t="s">
        <v>147</v>
      </c>
      <c r="E101" s="14" t="s">
        <v>277</v>
      </c>
      <c r="F101" s="14" t="n">
        <v>57</v>
      </c>
      <c r="G101" s="14" t="n">
        <v>2</v>
      </c>
      <c r="H101" s="14" t="n">
        <f aca="false">F101/G101</f>
        <v>28.5</v>
      </c>
      <c r="I101" s="14" t="n">
        <v>44.9</v>
      </c>
      <c r="J101" s="14" t="n">
        <v>1.4</v>
      </c>
      <c r="K101" s="14" t="n">
        <v>47.5</v>
      </c>
    </row>
    <row r="102" customFormat="false" ht="15" hidden="false" customHeight="true" outlineLevel="0" collapsed="false">
      <c r="A102" s="13" t="s">
        <v>363</v>
      </c>
      <c r="B102" s="13" t="s">
        <v>364</v>
      </c>
      <c r="C102" s="13" t="s">
        <v>365</v>
      </c>
      <c r="D102" s="13" t="s">
        <v>77</v>
      </c>
      <c r="E102" s="14" t="s">
        <v>277</v>
      </c>
      <c r="F102" s="14" t="n">
        <v>52</v>
      </c>
      <c r="G102" s="14" t="n">
        <v>2</v>
      </c>
      <c r="H102" s="14" t="n">
        <f aca="false">F102/G102</f>
        <v>26</v>
      </c>
      <c r="I102" s="14" t="n">
        <v>37.6</v>
      </c>
      <c r="J102" s="14" t="n">
        <v>9.1</v>
      </c>
      <c r="K102" s="14" t="n">
        <v>47.5</v>
      </c>
    </row>
    <row r="103" customFormat="false" ht="15" hidden="false" customHeight="true" outlineLevel="0" collapsed="false">
      <c r="A103" s="13" t="s">
        <v>366</v>
      </c>
      <c r="B103" s="13" t="s">
        <v>367</v>
      </c>
      <c r="C103" s="13" t="s">
        <v>368</v>
      </c>
      <c r="D103" s="13" t="s">
        <v>178</v>
      </c>
      <c r="E103" s="14" t="s">
        <v>277</v>
      </c>
      <c r="F103" s="14" t="n">
        <v>51</v>
      </c>
      <c r="G103" s="14" t="n">
        <v>2</v>
      </c>
      <c r="H103" s="14" t="n">
        <f aca="false">F103/G103</f>
        <v>25.5</v>
      </c>
      <c r="I103" s="14" t="n">
        <v>37.6</v>
      </c>
      <c r="J103" s="14" t="n">
        <v>1.8</v>
      </c>
      <c r="K103" s="14" t="n">
        <v>47.5</v>
      </c>
    </row>
    <row r="104" customFormat="false" ht="15" hidden="false" customHeight="true" outlineLevel="0" collapsed="false">
      <c r="A104" s="13" t="s">
        <v>369</v>
      </c>
      <c r="B104" s="13" t="s">
        <v>370</v>
      </c>
      <c r="C104" s="13" t="s">
        <v>225</v>
      </c>
      <c r="D104" s="13" t="s">
        <v>77</v>
      </c>
      <c r="E104" s="14" t="s">
        <v>277</v>
      </c>
      <c r="F104" s="14" t="n">
        <v>50</v>
      </c>
      <c r="G104" s="14" t="n">
        <v>2</v>
      </c>
      <c r="H104" s="14" t="n">
        <f aca="false">F104/G104</f>
        <v>25</v>
      </c>
      <c r="I104" s="14" t="n">
        <v>67.5</v>
      </c>
      <c r="J104" s="14" t="n">
        <v>5.7</v>
      </c>
      <c r="K104" s="14" t="n">
        <v>47.5</v>
      </c>
    </row>
    <row r="105" customFormat="false" ht="15" hidden="false" customHeight="true" outlineLevel="0" collapsed="false">
      <c r="A105" s="13" t="s">
        <v>371</v>
      </c>
      <c r="B105" s="13" t="s">
        <v>372</v>
      </c>
      <c r="C105" s="13" t="s">
        <v>373</v>
      </c>
      <c r="D105" s="13" t="s">
        <v>178</v>
      </c>
      <c r="E105" s="14" t="s">
        <v>277</v>
      </c>
      <c r="F105" s="14" t="n">
        <v>50</v>
      </c>
      <c r="G105" s="14" t="n">
        <v>2</v>
      </c>
      <c r="H105" s="14" t="n">
        <f aca="false">F105/G105</f>
        <v>25</v>
      </c>
      <c r="I105" s="14" t="n">
        <v>14.3</v>
      </c>
      <c r="J105" s="14" t="n">
        <v>2.4</v>
      </c>
      <c r="K105" s="14" t="n">
        <v>47.5</v>
      </c>
    </row>
    <row r="106" customFormat="false" ht="15" hidden="false" customHeight="true" outlineLevel="0" collapsed="false">
      <c r="A106" s="13" t="s">
        <v>374</v>
      </c>
      <c r="B106" s="13" t="s">
        <v>375</v>
      </c>
      <c r="C106" s="13" t="s">
        <v>350</v>
      </c>
      <c r="D106" s="13" t="s">
        <v>178</v>
      </c>
      <c r="E106" s="14" t="s">
        <v>277</v>
      </c>
      <c r="F106" s="14" t="n">
        <v>50</v>
      </c>
      <c r="G106" s="14" t="n">
        <v>2</v>
      </c>
      <c r="H106" s="14" t="n">
        <f aca="false">F106/G106</f>
        <v>25</v>
      </c>
      <c r="I106" s="14" t="n">
        <v>49.4</v>
      </c>
      <c r="J106" s="14" t="n">
        <v>1.8</v>
      </c>
      <c r="K106" s="14" t="n">
        <v>47.5</v>
      </c>
    </row>
    <row r="107" customFormat="false" ht="15" hidden="false" customHeight="true" outlineLevel="0" collapsed="false">
      <c r="A107" s="13" t="s">
        <v>376</v>
      </c>
      <c r="B107" s="13" t="s">
        <v>377</v>
      </c>
      <c r="C107" s="13" t="s">
        <v>378</v>
      </c>
      <c r="D107" s="13" t="s">
        <v>178</v>
      </c>
      <c r="E107" s="14" t="s">
        <v>277</v>
      </c>
      <c r="F107" s="14" t="n">
        <v>50</v>
      </c>
      <c r="G107" s="14" t="n">
        <v>2</v>
      </c>
      <c r="H107" s="14" t="n">
        <f aca="false">F107/G107</f>
        <v>25</v>
      </c>
      <c r="I107" s="14" t="n">
        <v>40.8</v>
      </c>
      <c r="J107" s="14" t="n">
        <v>1</v>
      </c>
      <c r="K107" s="14" t="n">
        <v>47.5</v>
      </c>
    </row>
    <row r="108" customFormat="false" ht="15" hidden="false" customHeight="true" outlineLevel="0" collapsed="false">
      <c r="A108" s="13" t="s">
        <v>379</v>
      </c>
      <c r="B108" s="13" t="s">
        <v>380</v>
      </c>
      <c r="C108" s="13" t="s">
        <v>381</v>
      </c>
      <c r="D108" s="13" t="s">
        <v>178</v>
      </c>
      <c r="E108" s="14" t="s">
        <v>277</v>
      </c>
      <c r="F108" s="14" t="n">
        <v>49</v>
      </c>
      <c r="G108" s="14" t="n">
        <v>2</v>
      </c>
      <c r="H108" s="14" t="n">
        <f aca="false">F108/G108</f>
        <v>24.5</v>
      </c>
      <c r="I108" s="14" t="n">
        <v>23.9</v>
      </c>
      <c r="J108" s="14" t="n">
        <v>3.4</v>
      </c>
      <c r="K108" s="14" t="n">
        <v>47.5</v>
      </c>
    </row>
    <row r="109" customFormat="false" ht="15" hidden="false" customHeight="true" outlineLevel="0" collapsed="false">
      <c r="A109" s="13" t="s">
        <v>382</v>
      </c>
      <c r="B109" s="13" t="s">
        <v>383</v>
      </c>
      <c r="C109" s="13" t="s">
        <v>384</v>
      </c>
      <c r="D109" s="13" t="s">
        <v>147</v>
      </c>
      <c r="E109" s="14" t="s">
        <v>277</v>
      </c>
      <c r="F109" s="14" t="n">
        <v>49</v>
      </c>
      <c r="G109" s="14" t="n">
        <v>2</v>
      </c>
      <c r="H109" s="14" t="n">
        <f aca="false">F109/G109</f>
        <v>24.5</v>
      </c>
      <c r="I109" s="14" t="n">
        <v>67</v>
      </c>
      <c r="J109" s="14" t="n">
        <v>1.8</v>
      </c>
      <c r="K109" s="14" t="n">
        <v>47.5</v>
      </c>
    </row>
    <row r="110" customFormat="false" ht="15" hidden="false" customHeight="true" outlineLevel="0" collapsed="false">
      <c r="A110" s="13" t="s">
        <v>385</v>
      </c>
      <c r="B110" s="13" t="s">
        <v>386</v>
      </c>
      <c r="C110" s="13" t="s">
        <v>387</v>
      </c>
      <c r="D110" s="13" t="s">
        <v>178</v>
      </c>
      <c r="E110" s="14" t="s">
        <v>277</v>
      </c>
      <c r="F110" s="14" t="n">
        <v>46</v>
      </c>
      <c r="G110" s="14" t="n">
        <v>2</v>
      </c>
      <c r="H110" s="14" t="n">
        <f aca="false">F110/G110</f>
        <v>23</v>
      </c>
      <c r="I110" s="14" t="n">
        <v>37.8</v>
      </c>
      <c r="J110" s="14" t="n">
        <v>2</v>
      </c>
      <c r="K110" s="14" t="n">
        <v>47.5</v>
      </c>
    </row>
    <row r="111" customFormat="false" ht="15" hidden="false" customHeight="true" outlineLevel="0" collapsed="false">
      <c r="A111" s="13" t="s">
        <v>388</v>
      </c>
      <c r="B111" s="13" t="s">
        <v>389</v>
      </c>
      <c r="C111" s="13" t="s">
        <v>390</v>
      </c>
      <c r="D111" s="13" t="s">
        <v>178</v>
      </c>
      <c r="E111" s="14" t="s">
        <v>277</v>
      </c>
      <c r="F111" s="14" t="n">
        <v>46</v>
      </c>
      <c r="G111" s="14" t="n">
        <v>2</v>
      </c>
      <c r="H111" s="14" t="n">
        <f aca="false">F111/G111</f>
        <v>23</v>
      </c>
      <c r="I111" s="14" t="n">
        <v>47.7</v>
      </c>
      <c r="J111" s="14" t="n">
        <v>1.3</v>
      </c>
      <c r="K111" s="14" t="n">
        <v>47.5</v>
      </c>
    </row>
    <row r="112" customFormat="false" ht="15" hidden="false" customHeight="true" outlineLevel="0" collapsed="false">
      <c r="A112" s="13" t="s">
        <v>391</v>
      </c>
      <c r="B112" s="13" t="s">
        <v>392</v>
      </c>
      <c r="C112" s="13" t="s">
        <v>393</v>
      </c>
      <c r="D112" s="13" t="s">
        <v>178</v>
      </c>
      <c r="E112" s="14" t="s">
        <v>277</v>
      </c>
      <c r="F112" s="14" t="n">
        <v>45</v>
      </c>
      <c r="G112" s="14" t="n">
        <v>2</v>
      </c>
      <c r="H112" s="14" t="n">
        <f aca="false">F112/G112</f>
        <v>22.5</v>
      </c>
      <c r="I112" s="14" t="n">
        <v>54</v>
      </c>
      <c r="J112" s="14" t="n">
        <v>3.5</v>
      </c>
      <c r="K112" s="14" t="n">
        <v>47.5</v>
      </c>
    </row>
    <row r="113" customFormat="false" ht="15" hidden="false" customHeight="true" outlineLevel="0" collapsed="false">
      <c r="A113" s="13" t="s">
        <v>394</v>
      </c>
      <c r="B113" s="13" t="s">
        <v>395</v>
      </c>
      <c r="C113" s="13" t="s">
        <v>177</v>
      </c>
      <c r="D113" s="13" t="s">
        <v>178</v>
      </c>
      <c r="E113" s="14" t="s">
        <v>277</v>
      </c>
      <c r="F113" s="14" t="n">
        <v>45</v>
      </c>
      <c r="G113" s="14" t="n">
        <v>2</v>
      </c>
      <c r="H113" s="14" t="n">
        <f aca="false">F113/G113</f>
        <v>22.5</v>
      </c>
      <c r="I113" s="14" t="n">
        <v>47.3</v>
      </c>
      <c r="J113" s="14" t="n">
        <v>1.9</v>
      </c>
      <c r="K113" s="14" t="n">
        <v>47.5</v>
      </c>
    </row>
    <row r="114" customFormat="false" ht="15" hidden="false" customHeight="true" outlineLevel="0" collapsed="false">
      <c r="A114" s="13" t="s">
        <v>396</v>
      </c>
      <c r="B114" s="13" t="s">
        <v>397</v>
      </c>
      <c r="C114" s="13" t="s">
        <v>398</v>
      </c>
      <c r="D114" s="13" t="s">
        <v>178</v>
      </c>
      <c r="E114" s="14" t="s">
        <v>277</v>
      </c>
      <c r="F114" s="14" t="n">
        <v>44</v>
      </c>
      <c r="G114" s="14" t="n">
        <v>2</v>
      </c>
      <c r="H114" s="14" t="n">
        <f aca="false">F114/G114</f>
        <v>22</v>
      </c>
      <c r="I114" s="14" t="n">
        <v>14.7</v>
      </c>
      <c r="J114" s="14" t="n">
        <v>4.6</v>
      </c>
      <c r="K114" s="14" t="n">
        <v>47.5</v>
      </c>
    </row>
    <row r="115" customFormat="false" ht="15" hidden="false" customHeight="true" outlineLevel="0" collapsed="false">
      <c r="A115" s="13" t="s">
        <v>399</v>
      </c>
      <c r="B115" s="13" t="s">
        <v>400</v>
      </c>
      <c r="C115" s="13" t="s">
        <v>401</v>
      </c>
      <c r="D115" s="13" t="s">
        <v>178</v>
      </c>
      <c r="E115" s="14" t="s">
        <v>277</v>
      </c>
      <c r="F115" s="14" t="n">
        <v>43</v>
      </c>
      <c r="G115" s="14" t="n">
        <v>2</v>
      </c>
      <c r="H115" s="14" t="n">
        <f aca="false">F115/G115</f>
        <v>21.5</v>
      </c>
      <c r="I115" s="14" t="n">
        <v>25.7</v>
      </c>
      <c r="J115" s="14" t="n">
        <v>3.3</v>
      </c>
      <c r="K115" s="14" t="n">
        <v>47.5</v>
      </c>
    </row>
    <row r="116" customFormat="false" ht="15" hidden="false" customHeight="true" outlineLevel="0" collapsed="false">
      <c r="A116" s="13" t="s">
        <v>402</v>
      </c>
      <c r="B116" s="13" t="s">
        <v>403</v>
      </c>
      <c r="C116" s="13" t="s">
        <v>404</v>
      </c>
      <c r="D116" s="13" t="s">
        <v>77</v>
      </c>
      <c r="E116" s="14" t="s">
        <v>277</v>
      </c>
      <c r="F116" s="14" t="n">
        <v>41</v>
      </c>
      <c r="G116" s="14" t="n">
        <v>2</v>
      </c>
      <c r="H116" s="14" t="n">
        <f aca="false">F116/G116</f>
        <v>20.5</v>
      </c>
      <c r="I116" s="14" t="n">
        <v>106.5</v>
      </c>
      <c r="J116" s="14" t="n">
        <v>17.6</v>
      </c>
      <c r="K116" s="14" t="n">
        <v>47.5</v>
      </c>
    </row>
    <row r="117" customFormat="false" ht="15" hidden="false" customHeight="true" outlineLevel="0" collapsed="false">
      <c r="A117" s="13" t="s">
        <v>405</v>
      </c>
      <c r="B117" s="13" t="s">
        <v>406</v>
      </c>
      <c r="C117" s="13" t="s">
        <v>350</v>
      </c>
      <c r="D117" s="13" t="s">
        <v>178</v>
      </c>
      <c r="E117" s="14" t="s">
        <v>277</v>
      </c>
      <c r="F117" s="14" t="n">
        <v>41</v>
      </c>
      <c r="G117" s="14" t="n">
        <v>2</v>
      </c>
      <c r="H117" s="14" t="n">
        <f aca="false">F117/G117</f>
        <v>20.5</v>
      </c>
      <c r="I117" s="14" t="n">
        <v>42.7</v>
      </c>
      <c r="J117" s="14" t="n">
        <v>1.8</v>
      </c>
      <c r="K117" s="14" t="n">
        <v>47.5</v>
      </c>
    </row>
    <row r="118" customFormat="false" ht="15" hidden="false" customHeight="true" outlineLevel="0" collapsed="false">
      <c r="A118" s="13" t="s">
        <v>407</v>
      </c>
      <c r="B118" s="13" t="s">
        <v>408</v>
      </c>
      <c r="C118" s="13" t="s">
        <v>409</v>
      </c>
      <c r="D118" s="13" t="s">
        <v>147</v>
      </c>
      <c r="E118" s="14" t="s">
        <v>277</v>
      </c>
      <c r="F118" s="14" t="n">
        <v>40</v>
      </c>
      <c r="G118" s="14" t="n">
        <v>2</v>
      </c>
      <c r="H118" s="14" t="n">
        <f aca="false">F118/G118</f>
        <v>20</v>
      </c>
      <c r="I118" s="14" t="n">
        <v>85.7</v>
      </c>
      <c r="J118" s="14" t="n">
        <v>0.5</v>
      </c>
      <c r="K118" s="14" t="n">
        <v>47.5</v>
      </c>
    </row>
    <row r="119" customFormat="false" ht="15" hidden="false" customHeight="true" outlineLevel="0" collapsed="false">
      <c r="A119" s="13" t="s">
        <v>410</v>
      </c>
      <c r="B119" s="13" t="s">
        <v>411</v>
      </c>
      <c r="C119" s="13" t="s">
        <v>412</v>
      </c>
      <c r="D119" s="13" t="s">
        <v>147</v>
      </c>
      <c r="E119" s="14" t="s">
        <v>277</v>
      </c>
      <c r="F119" s="14" t="n">
        <v>39</v>
      </c>
      <c r="G119" s="14" t="n">
        <v>2</v>
      </c>
      <c r="H119" s="14" t="n">
        <f aca="false">F119/G119</f>
        <v>19.5</v>
      </c>
      <c r="I119" s="14" t="n">
        <v>37.8</v>
      </c>
      <c r="J119" s="14" t="n">
        <v>3.4</v>
      </c>
      <c r="K119" s="14" t="n">
        <v>47.5</v>
      </c>
    </row>
    <row r="120" customFormat="false" ht="15" hidden="false" customHeight="true" outlineLevel="0" collapsed="false">
      <c r="A120" s="13" t="s">
        <v>413</v>
      </c>
      <c r="B120" s="13" t="s">
        <v>414</v>
      </c>
      <c r="C120" s="13" t="s">
        <v>415</v>
      </c>
      <c r="D120" s="13" t="s">
        <v>178</v>
      </c>
      <c r="E120" s="14" t="s">
        <v>277</v>
      </c>
      <c r="F120" s="14" t="n">
        <v>39</v>
      </c>
      <c r="G120" s="14" t="n">
        <v>2</v>
      </c>
      <c r="H120" s="14" t="n">
        <f aca="false">F120/G120</f>
        <v>19.5</v>
      </c>
      <c r="I120" s="14" t="n">
        <v>38</v>
      </c>
      <c r="J120" s="14" t="n">
        <v>3</v>
      </c>
      <c r="K120" s="14" t="n">
        <v>47.5</v>
      </c>
    </row>
    <row r="121" customFormat="false" ht="15" hidden="false" customHeight="true" outlineLevel="0" collapsed="false">
      <c r="A121" s="13" t="s">
        <v>416</v>
      </c>
      <c r="B121" s="13" t="s">
        <v>417</v>
      </c>
      <c r="C121" s="13" t="s">
        <v>418</v>
      </c>
      <c r="D121" s="13" t="s">
        <v>178</v>
      </c>
      <c r="E121" s="14" t="s">
        <v>277</v>
      </c>
      <c r="F121" s="14" t="n">
        <v>39</v>
      </c>
      <c r="G121" s="14" t="n">
        <v>2</v>
      </c>
      <c r="H121" s="14" t="n">
        <f aca="false">F121/G121</f>
        <v>19.5</v>
      </c>
      <c r="I121" s="14" t="n">
        <v>25.8</v>
      </c>
      <c r="J121" s="14" t="n">
        <v>3.1</v>
      </c>
      <c r="K121" s="14" t="n">
        <v>47.5</v>
      </c>
    </row>
    <row r="122" customFormat="false" ht="15" hidden="false" customHeight="true" outlineLevel="0" collapsed="false">
      <c r="A122" s="13" t="s">
        <v>419</v>
      </c>
      <c r="B122" s="13" t="s">
        <v>420</v>
      </c>
      <c r="C122" s="13" t="s">
        <v>421</v>
      </c>
      <c r="D122" s="13" t="s">
        <v>77</v>
      </c>
      <c r="E122" s="14" t="s">
        <v>277</v>
      </c>
      <c r="F122" s="14" t="n">
        <v>37</v>
      </c>
      <c r="G122" s="14" t="n">
        <v>2</v>
      </c>
      <c r="H122" s="14" t="n">
        <f aca="false">F122/G122</f>
        <v>18.5</v>
      </c>
      <c r="I122" s="14" t="n">
        <v>90.8</v>
      </c>
      <c r="J122" s="14" t="n">
        <v>11.2</v>
      </c>
      <c r="K122" s="14" t="n">
        <v>47.5</v>
      </c>
    </row>
    <row r="123" customFormat="false" ht="15" hidden="false" customHeight="true" outlineLevel="0" collapsed="false">
      <c r="A123" s="13" t="s">
        <v>422</v>
      </c>
      <c r="B123" s="13" t="s">
        <v>423</v>
      </c>
      <c r="C123" s="13" t="s">
        <v>424</v>
      </c>
      <c r="D123" s="13" t="s">
        <v>178</v>
      </c>
      <c r="E123" s="14" t="s">
        <v>277</v>
      </c>
      <c r="F123" s="14" t="n">
        <v>37</v>
      </c>
      <c r="G123" s="14" t="n">
        <v>2</v>
      </c>
      <c r="H123" s="14" t="n">
        <f aca="false">F123/G123</f>
        <v>18.5</v>
      </c>
      <c r="I123" s="14" t="n">
        <v>20.2</v>
      </c>
      <c r="J123" s="14" t="n">
        <v>2.6</v>
      </c>
      <c r="K123" s="14" t="n">
        <v>47.5</v>
      </c>
    </row>
    <row r="124" customFormat="false" ht="15" hidden="false" customHeight="true" outlineLevel="0" collapsed="false">
      <c r="A124" s="13" t="s">
        <v>425</v>
      </c>
      <c r="B124" s="13" t="s">
        <v>426</v>
      </c>
      <c r="C124" s="13" t="s">
        <v>228</v>
      </c>
      <c r="D124" s="13" t="s">
        <v>77</v>
      </c>
      <c r="E124" s="14" t="s">
        <v>277</v>
      </c>
      <c r="F124" s="14" t="n">
        <v>35</v>
      </c>
      <c r="G124" s="14" t="n">
        <v>2</v>
      </c>
      <c r="H124" s="14" t="n">
        <f aca="false">F124/G124</f>
        <v>17.5</v>
      </c>
      <c r="I124" s="14" t="n">
        <v>53</v>
      </c>
      <c r="J124" s="14" t="n">
        <v>11.3</v>
      </c>
      <c r="K124" s="14" t="n">
        <v>47.5</v>
      </c>
    </row>
    <row r="125" customFormat="false" ht="15" hidden="false" customHeight="true" outlineLevel="0" collapsed="false">
      <c r="A125" s="13" t="s">
        <v>427</v>
      </c>
      <c r="B125" s="13" t="s">
        <v>428</v>
      </c>
      <c r="C125" s="13" t="s">
        <v>429</v>
      </c>
      <c r="D125" s="13" t="s">
        <v>178</v>
      </c>
      <c r="E125" s="14" t="s">
        <v>277</v>
      </c>
      <c r="F125" s="14" t="n">
        <v>35</v>
      </c>
      <c r="G125" s="14" t="n">
        <v>2</v>
      </c>
      <c r="H125" s="14" t="n">
        <f aca="false">F125/G125</f>
        <v>17.5</v>
      </c>
      <c r="I125" s="14" t="n">
        <v>18.6</v>
      </c>
      <c r="J125" s="14" t="n">
        <v>1.1</v>
      </c>
      <c r="K125" s="14" t="n">
        <v>47.5</v>
      </c>
    </row>
    <row r="126" customFormat="false" ht="15" hidden="false" customHeight="true" outlineLevel="0" collapsed="false">
      <c r="A126" s="13" t="s">
        <v>430</v>
      </c>
      <c r="B126" s="13" t="s">
        <v>431</v>
      </c>
      <c r="C126" s="13" t="s">
        <v>432</v>
      </c>
      <c r="D126" s="13" t="s">
        <v>147</v>
      </c>
      <c r="E126" s="14" t="s">
        <v>277</v>
      </c>
      <c r="F126" s="14" t="n">
        <v>34</v>
      </c>
      <c r="G126" s="14" t="n">
        <v>2</v>
      </c>
      <c r="H126" s="14" t="n">
        <f aca="false">F126/G126</f>
        <v>17</v>
      </c>
      <c r="I126" s="14" t="n">
        <v>66.9</v>
      </c>
      <c r="J126" s="14" t="n">
        <v>8</v>
      </c>
      <c r="K126" s="14" t="n">
        <v>47.5</v>
      </c>
    </row>
    <row r="127" customFormat="false" ht="15" hidden="false" customHeight="true" outlineLevel="0" collapsed="false">
      <c r="A127" s="13" t="s">
        <v>433</v>
      </c>
      <c r="B127" s="13" t="s">
        <v>434</v>
      </c>
      <c r="C127" s="13" t="s">
        <v>335</v>
      </c>
      <c r="D127" s="13" t="s">
        <v>147</v>
      </c>
      <c r="E127" s="14" t="s">
        <v>277</v>
      </c>
      <c r="F127" s="14" t="n">
        <v>34</v>
      </c>
      <c r="G127" s="14" t="n">
        <v>2</v>
      </c>
      <c r="H127" s="14" t="n">
        <f aca="false">F127/G127</f>
        <v>17</v>
      </c>
      <c r="I127" s="14" t="n">
        <v>76.9</v>
      </c>
      <c r="J127" s="14" t="n">
        <v>2.7</v>
      </c>
      <c r="K127" s="14" t="n">
        <v>47.5</v>
      </c>
    </row>
    <row r="128" customFormat="false" ht="15" hidden="false" customHeight="true" outlineLevel="0" collapsed="false">
      <c r="A128" s="13" t="s">
        <v>435</v>
      </c>
      <c r="B128" s="13" t="s">
        <v>436</v>
      </c>
      <c r="C128" s="13" t="s">
        <v>437</v>
      </c>
      <c r="D128" s="13" t="s">
        <v>147</v>
      </c>
      <c r="E128" s="14" t="s">
        <v>277</v>
      </c>
      <c r="F128" s="14" t="n">
        <v>34</v>
      </c>
      <c r="G128" s="14" t="n">
        <v>2</v>
      </c>
      <c r="H128" s="14" t="n">
        <f aca="false">F128/G128</f>
        <v>17</v>
      </c>
      <c r="I128" s="14" t="n">
        <v>50</v>
      </c>
      <c r="J128" s="14" t="n">
        <v>1.5</v>
      </c>
      <c r="K128" s="14" t="n">
        <v>47.5</v>
      </c>
    </row>
    <row r="129" customFormat="false" ht="15" hidden="false" customHeight="true" outlineLevel="0" collapsed="false">
      <c r="A129" s="13" t="s">
        <v>438</v>
      </c>
      <c r="B129" s="13" t="s">
        <v>439</v>
      </c>
      <c r="C129" s="13" t="s">
        <v>440</v>
      </c>
      <c r="D129" s="13" t="s">
        <v>178</v>
      </c>
      <c r="E129" s="14" t="s">
        <v>277</v>
      </c>
      <c r="F129" s="14" t="n">
        <v>34</v>
      </c>
      <c r="G129" s="14" t="n">
        <v>2</v>
      </c>
      <c r="H129" s="14" t="n">
        <f aca="false">F129/G129</f>
        <v>17</v>
      </c>
      <c r="I129" s="14" t="n">
        <v>36.8</v>
      </c>
      <c r="J129" s="14" t="n">
        <v>1.6</v>
      </c>
      <c r="K129" s="14" t="n">
        <v>47.5</v>
      </c>
    </row>
    <row r="130" customFormat="false" ht="15" hidden="false" customHeight="true" outlineLevel="0" collapsed="false">
      <c r="A130" s="13" t="s">
        <v>441</v>
      </c>
      <c r="B130" s="13" t="s">
        <v>442</v>
      </c>
      <c r="C130" s="13" t="s">
        <v>443</v>
      </c>
      <c r="D130" s="13" t="s">
        <v>178</v>
      </c>
      <c r="E130" s="14" t="s">
        <v>277</v>
      </c>
      <c r="F130" s="14" t="n">
        <v>34</v>
      </c>
      <c r="G130" s="14" t="n">
        <v>2</v>
      </c>
      <c r="H130" s="14" t="n">
        <f aca="false">F130/G130</f>
        <v>17</v>
      </c>
      <c r="I130" s="14" t="n">
        <v>46.4</v>
      </c>
      <c r="J130" s="14" t="n">
        <v>1.6</v>
      </c>
      <c r="K130" s="14" t="n">
        <v>47.5</v>
      </c>
    </row>
    <row r="131" customFormat="false" ht="15" hidden="false" customHeight="true" outlineLevel="0" collapsed="false">
      <c r="A131" s="13" t="s">
        <v>444</v>
      </c>
      <c r="B131" s="13" t="s">
        <v>445</v>
      </c>
      <c r="C131" s="13" t="s">
        <v>246</v>
      </c>
      <c r="D131" s="13" t="s">
        <v>77</v>
      </c>
      <c r="E131" s="14" t="s">
        <v>277</v>
      </c>
      <c r="F131" s="14" t="n">
        <v>32</v>
      </c>
      <c r="G131" s="14" t="n">
        <v>2</v>
      </c>
      <c r="H131" s="14" t="n">
        <f aca="false">F131/G131</f>
        <v>16</v>
      </c>
      <c r="I131" s="14" t="n">
        <v>102.6</v>
      </c>
      <c r="J131" s="14" t="n">
        <v>21.2</v>
      </c>
      <c r="K131" s="14" t="n">
        <v>47.5</v>
      </c>
    </row>
    <row r="132" customFormat="false" ht="15" hidden="false" customHeight="true" outlineLevel="0" collapsed="false">
      <c r="A132" s="13" t="s">
        <v>446</v>
      </c>
      <c r="B132" s="13" t="s">
        <v>447</v>
      </c>
      <c r="C132" s="13" t="s">
        <v>443</v>
      </c>
      <c r="D132" s="13" t="s">
        <v>178</v>
      </c>
      <c r="E132" s="14" t="s">
        <v>277</v>
      </c>
      <c r="F132" s="14" t="n">
        <v>31</v>
      </c>
      <c r="G132" s="14" t="n">
        <v>2</v>
      </c>
      <c r="H132" s="14" t="n">
        <f aca="false">F132/G132</f>
        <v>15.5</v>
      </c>
      <c r="I132" s="14" t="n">
        <v>36.2</v>
      </c>
      <c r="J132" s="14" t="n">
        <v>1.8</v>
      </c>
      <c r="K132" s="14" t="n">
        <v>47.5</v>
      </c>
    </row>
    <row r="133" customFormat="false" ht="15" hidden="false" customHeight="true" outlineLevel="0" collapsed="false">
      <c r="A133" s="13" t="s">
        <v>448</v>
      </c>
      <c r="B133" s="13" t="s">
        <v>449</v>
      </c>
      <c r="C133" s="13" t="s">
        <v>450</v>
      </c>
      <c r="D133" s="13" t="s">
        <v>178</v>
      </c>
      <c r="E133" s="14" t="s">
        <v>277</v>
      </c>
      <c r="F133" s="14" t="n">
        <v>30</v>
      </c>
      <c r="G133" s="14" t="n">
        <v>2</v>
      </c>
      <c r="H133" s="14" t="n">
        <f aca="false">F133/G133</f>
        <v>15</v>
      </c>
      <c r="I133" s="14" t="n">
        <v>31.5</v>
      </c>
      <c r="J133" s="14" t="n">
        <v>2.9</v>
      </c>
      <c r="K133" s="14" t="n">
        <v>47.5</v>
      </c>
    </row>
    <row r="134" customFormat="false" ht="15" hidden="false" customHeight="true" outlineLevel="0" collapsed="false">
      <c r="A134" s="13" t="s">
        <v>451</v>
      </c>
      <c r="B134" s="13" t="s">
        <v>452</v>
      </c>
      <c r="C134" s="13" t="s">
        <v>453</v>
      </c>
      <c r="D134" s="13" t="s">
        <v>178</v>
      </c>
      <c r="E134" s="14" t="s">
        <v>277</v>
      </c>
      <c r="F134" s="14" t="n">
        <v>30</v>
      </c>
      <c r="G134" s="14" t="n">
        <v>2</v>
      </c>
      <c r="H134" s="14" t="n">
        <f aca="false">F134/G134</f>
        <v>15</v>
      </c>
      <c r="I134" s="14" t="n">
        <v>29.1</v>
      </c>
      <c r="J134" s="14" t="n">
        <v>2.7</v>
      </c>
      <c r="K134" s="14" t="n">
        <v>47.5</v>
      </c>
    </row>
    <row r="135" customFormat="false" ht="15" hidden="false" customHeight="true" outlineLevel="0" collapsed="false">
      <c r="A135" s="13" t="s">
        <v>454</v>
      </c>
      <c r="B135" s="13" t="s">
        <v>455</v>
      </c>
      <c r="C135" s="13" t="s">
        <v>456</v>
      </c>
      <c r="D135" s="13" t="s">
        <v>178</v>
      </c>
      <c r="E135" s="14" t="s">
        <v>277</v>
      </c>
      <c r="F135" s="14" t="n">
        <v>30</v>
      </c>
      <c r="G135" s="14" t="n">
        <v>2</v>
      </c>
      <c r="H135" s="14" t="n">
        <f aca="false">F135/G135</f>
        <v>15</v>
      </c>
      <c r="I135" s="14" t="n">
        <v>44.8</v>
      </c>
      <c r="J135" s="14" t="n">
        <v>1.6</v>
      </c>
      <c r="K135" s="14" t="n">
        <v>47.5</v>
      </c>
    </row>
    <row r="136" customFormat="false" ht="15" hidden="false" customHeight="true" outlineLevel="0" collapsed="false">
      <c r="A136" s="13" t="s">
        <v>457</v>
      </c>
      <c r="B136" s="13" t="s">
        <v>458</v>
      </c>
      <c r="C136" s="13" t="s">
        <v>459</v>
      </c>
      <c r="D136" s="13" t="s">
        <v>147</v>
      </c>
      <c r="E136" s="14" t="s">
        <v>277</v>
      </c>
      <c r="F136" s="14" t="n">
        <v>29</v>
      </c>
      <c r="G136" s="14" t="n">
        <v>2</v>
      </c>
      <c r="H136" s="14" t="n">
        <f aca="false">F136/G136</f>
        <v>14.5</v>
      </c>
      <c r="I136" s="14" t="n">
        <v>62.5</v>
      </c>
      <c r="J136" s="14" t="n">
        <v>0.8</v>
      </c>
      <c r="K136" s="14" t="n">
        <v>47.5</v>
      </c>
    </row>
    <row r="137" customFormat="false" ht="15" hidden="false" customHeight="true" outlineLevel="0" collapsed="false">
      <c r="A137" s="13" t="s">
        <v>460</v>
      </c>
      <c r="B137" s="13" t="s">
        <v>461</v>
      </c>
      <c r="C137" s="13" t="s">
        <v>234</v>
      </c>
      <c r="D137" s="13" t="s">
        <v>77</v>
      </c>
      <c r="E137" s="14" t="s">
        <v>277</v>
      </c>
      <c r="F137" s="14" t="n">
        <v>28</v>
      </c>
      <c r="G137" s="14" t="n">
        <v>2</v>
      </c>
      <c r="H137" s="14" t="n">
        <f aca="false">F137/G137</f>
        <v>14</v>
      </c>
      <c r="I137" s="14" t="n">
        <v>50.4</v>
      </c>
      <c r="J137" s="14" t="n">
        <v>19.3</v>
      </c>
      <c r="K137" s="14" t="n">
        <v>47.5</v>
      </c>
    </row>
    <row r="138" customFormat="false" ht="15" hidden="false" customHeight="true" outlineLevel="0" collapsed="false">
      <c r="A138" s="13" t="s">
        <v>462</v>
      </c>
      <c r="B138" s="13" t="s">
        <v>463</v>
      </c>
      <c r="C138" s="13" t="s">
        <v>464</v>
      </c>
      <c r="D138" s="13" t="s">
        <v>147</v>
      </c>
      <c r="E138" s="14" t="s">
        <v>277</v>
      </c>
      <c r="F138" s="14" t="n">
        <v>28</v>
      </c>
      <c r="G138" s="14" t="n">
        <v>2</v>
      </c>
      <c r="H138" s="14" t="n">
        <f aca="false">F138/G138</f>
        <v>14</v>
      </c>
      <c r="I138" s="14" t="n">
        <v>62.1</v>
      </c>
      <c r="J138" s="14" t="n">
        <v>1</v>
      </c>
      <c r="K138" s="14" t="n">
        <v>47.5</v>
      </c>
    </row>
    <row r="139" customFormat="false" ht="15" hidden="false" customHeight="true" outlineLevel="0" collapsed="false">
      <c r="A139" s="13" t="s">
        <v>465</v>
      </c>
      <c r="B139" s="13" t="s">
        <v>466</v>
      </c>
      <c r="C139" s="13" t="s">
        <v>365</v>
      </c>
      <c r="D139" s="13" t="s">
        <v>77</v>
      </c>
      <c r="E139" s="14" t="s">
        <v>277</v>
      </c>
      <c r="F139" s="14" t="n">
        <v>25</v>
      </c>
      <c r="G139" s="14" t="n">
        <v>2</v>
      </c>
      <c r="H139" s="14" t="n">
        <f aca="false">F139/G139</f>
        <v>12.5</v>
      </c>
      <c r="I139" s="14" t="n">
        <v>37.5</v>
      </c>
      <c r="J139" s="14" t="n">
        <v>29.4</v>
      </c>
      <c r="K139" s="14" t="n">
        <v>47.5</v>
      </c>
    </row>
    <row r="140" customFormat="false" ht="15" hidden="false" customHeight="true" outlineLevel="0" collapsed="false">
      <c r="A140" s="13" t="s">
        <v>467</v>
      </c>
      <c r="B140" s="13" t="s">
        <v>468</v>
      </c>
      <c r="C140" s="13" t="s">
        <v>469</v>
      </c>
      <c r="D140" s="13" t="s">
        <v>147</v>
      </c>
      <c r="E140" s="14" t="s">
        <v>277</v>
      </c>
      <c r="F140" s="14" t="n">
        <v>25</v>
      </c>
      <c r="G140" s="14" t="n">
        <v>2</v>
      </c>
      <c r="H140" s="14" t="n">
        <f aca="false">F140/G140</f>
        <v>12.5</v>
      </c>
      <c r="I140" s="14" t="n">
        <v>38.7</v>
      </c>
      <c r="J140" s="14" t="n">
        <v>4.3</v>
      </c>
      <c r="K140" s="14" t="n">
        <v>47.5</v>
      </c>
    </row>
    <row r="141" customFormat="false" ht="15" hidden="false" customHeight="true" outlineLevel="0" collapsed="false">
      <c r="A141" s="13" t="s">
        <v>470</v>
      </c>
      <c r="B141" s="13" t="s">
        <v>471</v>
      </c>
      <c r="C141" s="13" t="s">
        <v>472</v>
      </c>
      <c r="D141" s="13" t="s">
        <v>178</v>
      </c>
      <c r="E141" s="14" t="s">
        <v>277</v>
      </c>
      <c r="F141" s="14" t="n">
        <v>25</v>
      </c>
      <c r="G141" s="14" t="n">
        <v>2</v>
      </c>
      <c r="H141" s="14" t="n">
        <f aca="false">F141/G141</f>
        <v>12.5</v>
      </c>
      <c r="I141" s="14" t="n">
        <v>34.5</v>
      </c>
      <c r="J141" s="14" t="n">
        <v>1.2</v>
      </c>
      <c r="K141" s="14" t="n">
        <v>47.5</v>
      </c>
    </row>
    <row r="142" customFormat="false" ht="15" hidden="false" customHeight="true" outlineLevel="0" collapsed="false">
      <c r="A142" s="13" t="s">
        <v>473</v>
      </c>
      <c r="B142" s="13" t="s">
        <v>474</v>
      </c>
      <c r="C142" s="13" t="s">
        <v>475</v>
      </c>
      <c r="D142" s="13" t="s">
        <v>77</v>
      </c>
      <c r="E142" s="14" t="s">
        <v>277</v>
      </c>
      <c r="F142" s="14" t="n">
        <v>24</v>
      </c>
      <c r="G142" s="14" t="n">
        <v>2</v>
      </c>
      <c r="H142" s="14" t="n">
        <f aca="false">F142/G142</f>
        <v>12</v>
      </c>
      <c r="I142" s="14" t="n">
        <v>24.9</v>
      </c>
      <c r="J142" s="14" t="n">
        <v>26.8</v>
      </c>
      <c r="K142" s="14" t="n">
        <v>47.5</v>
      </c>
    </row>
    <row r="143" customFormat="false" ht="15" hidden="false" customHeight="true" outlineLevel="0" collapsed="false">
      <c r="A143" s="13" t="s">
        <v>476</v>
      </c>
      <c r="B143" s="13" t="s">
        <v>477</v>
      </c>
      <c r="C143" s="13" t="s">
        <v>228</v>
      </c>
      <c r="D143" s="13" t="s">
        <v>77</v>
      </c>
      <c r="E143" s="14" t="s">
        <v>277</v>
      </c>
      <c r="F143" s="14" t="n">
        <v>24</v>
      </c>
      <c r="G143" s="14" t="n">
        <v>2</v>
      </c>
      <c r="H143" s="14" t="n">
        <f aca="false">F143/G143</f>
        <v>12</v>
      </c>
      <c r="I143" s="14" t="n">
        <v>51.9</v>
      </c>
      <c r="J143" s="14" t="n">
        <v>15</v>
      </c>
      <c r="K143" s="14" t="n">
        <v>47.5</v>
      </c>
    </row>
    <row r="144" customFormat="false" ht="15" hidden="false" customHeight="true" outlineLevel="0" collapsed="false">
      <c r="A144" s="13" t="s">
        <v>478</v>
      </c>
      <c r="B144" s="13" t="s">
        <v>479</v>
      </c>
      <c r="C144" s="13" t="s">
        <v>480</v>
      </c>
      <c r="D144" s="13" t="s">
        <v>178</v>
      </c>
      <c r="E144" s="14" t="s">
        <v>277</v>
      </c>
      <c r="F144" s="14" t="n">
        <v>24</v>
      </c>
      <c r="G144" s="14" t="n">
        <v>2</v>
      </c>
      <c r="H144" s="14" t="n">
        <f aca="false">F144/G144</f>
        <v>12</v>
      </c>
      <c r="I144" s="14" t="n">
        <v>42</v>
      </c>
      <c r="J144" s="14" t="n">
        <v>12.3</v>
      </c>
      <c r="K144" s="14" t="n">
        <v>47.5</v>
      </c>
    </row>
    <row r="145" customFormat="false" ht="15" hidden="false" customHeight="true" outlineLevel="0" collapsed="false">
      <c r="A145" s="13" t="s">
        <v>481</v>
      </c>
      <c r="B145" s="13" t="s">
        <v>482</v>
      </c>
      <c r="C145" s="13" t="s">
        <v>483</v>
      </c>
      <c r="D145" s="13" t="s">
        <v>147</v>
      </c>
      <c r="E145" s="14" t="s">
        <v>277</v>
      </c>
      <c r="F145" s="14" t="n">
        <v>24</v>
      </c>
      <c r="G145" s="14" t="n">
        <v>2</v>
      </c>
      <c r="H145" s="14" t="n">
        <f aca="false">F145/G145</f>
        <v>12</v>
      </c>
      <c r="I145" s="14" t="n">
        <v>157.6</v>
      </c>
      <c r="J145" s="14" t="n">
        <v>9</v>
      </c>
      <c r="K145" s="14" t="n">
        <v>47.5</v>
      </c>
    </row>
    <row r="146" customFormat="false" ht="15" hidden="false" customHeight="true" outlineLevel="0" collapsed="false">
      <c r="A146" s="13" t="s">
        <v>484</v>
      </c>
      <c r="B146" s="13" t="s">
        <v>485</v>
      </c>
      <c r="C146" s="13" t="s">
        <v>381</v>
      </c>
      <c r="D146" s="13" t="s">
        <v>178</v>
      </c>
      <c r="E146" s="14" t="s">
        <v>277</v>
      </c>
      <c r="F146" s="14" t="n">
        <v>23</v>
      </c>
      <c r="G146" s="14" t="n">
        <v>2</v>
      </c>
      <c r="H146" s="14" t="n">
        <f aca="false">F146/G146</f>
        <v>11.5</v>
      </c>
      <c r="I146" s="14" t="n">
        <v>23.9</v>
      </c>
      <c r="J146" s="14" t="n">
        <v>7.1</v>
      </c>
      <c r="K146" s="14" t="n">
        <v>47.5</v>
      </c>
    </row>
    <row r="147" customFormat="false" ht="15" hidden="false" customHeight="true" outlineLevel="0" collapsed="false">
      <c r="A147" s="13" t="s">
        <v>486</v>
      </c>
      <c r="B147" s="13" t="s">
        <v>487</v>
      </c>
      <c r="C147" s="13" t="s">
        <v>195</v>
      </c>
      <c r="D147" s="13" t="s">
        <v>147</v>
      </c>
      <c r="E147" s="14" t="s">
        <v>277</v>
      </c>
      <c r="F147" s="14" t="n">
        <v>23</v>
      </c>
      <c r="G147" s="14" t="n">
        <v>2</v>
      </c>
      <c r="H147" s="14" t="n">
        <f aca="false">F147/G147</f>
        <v>11.5</v>
      </c>
      <c r="I147" s="14" t="n">
        <v>162.5</v>
      </c>
      <c r="J147" s="14" t="n">
        <v>2.8</v>
      </c>
      <c r="K147" s="14" t="n">
        <v>47.5</v>
      </c>
    </row>
    <row r="148" customFormat="false" ht="15" hidden="false" customHeight="true" outlineLevel="0" collapsed="false">
      <c r="A148" s="13" t="s">
        <v>488</v>
      </c>
      <c r="B148" s="13" t="s">
        <v>489</v>
      </c>
      <c r="C148" s="13" t="s">
        <v>490</v>
      </c>
      <c r="D148" s="13" t="s">
        <v>178</v>
      </c>
      <c r="E148" s="14" t="s">
        <v>277</v>
      </c>
      <c r="F148" s="14" t="n">
        <v>23</v>
      </c>
      <c r="G148" s="14" t="n">
        <v>2</v>
      </c>
      <c r="H148" s="14" t="n">
        <f aca="false">F148/G148</f>
        <v>11.5</v>
      </c>
      <c r="I148" s="14" t="n">
        <v>2.5</v>
      </c>
      <c r="J148" s="14" t="n">
        <v>1.3</v>
      </c>
      <c r="K148" s="14" t="n">
        <v>47.5</v>
      </c>
    </row>
    <row r="149" customFormat="false" ht="15" hidden="false" customHeight="true" outlineLevel="0" collapsed="false">
      <c r="A149" s="13" t="s">
        <v>491</v>
      </c>
      <c r="B149" s="13" t="s">
        <v>492</v>
      </c>
      <c r="C149" s="13" t="s">
        <v>493</v>
      </c>
      <c r="D149" s="13" t="s">
        <v>178</v>
      </c>
      <c r="E149" s="14" t="s">
        <v>277</v>
      </c>
      <c r="F149" s="14" t="n">
        <v>23</v>
      </c>
      <c r="G149" s="14" t="n">
        <v>2</v>
      </c>
      <c r="H149" s="14" t="n">
        <f aca="false">F149/G149</f>
        <v>11.5</v>
      </c>
      <c r="I149" s="14" t="n">
        <v>46.9</v>
      </c>
      <c r="J149" s="14" t="n">
        <v>1.4</v>
      </c>
      <c r="K149" s="14" t="n">
        <v>47.5</v>
      </c>
    </row>
    <row r="150" customFormat="false" ht="15" hidden="false" customHeight="true" outlineLevel="0" collapsed="false">
      <c r="A150" s="13" t="s">
        <v>494</v>
      </c>
      <c r="B150" s="13" t="s">
        <v>495</v>
      </c>
      <c r="C150" s="13" t="s">
        <v>496</v>
      </c>
      <c r="D150" s="13" t="s">
        <v>147</v>
      </c>
      <c r="E150" s="14" t="s">
        <v>277</v>
      </c>
      <c r="F150" s="14" t="n">
        <v>23</v>
      </c>
      <c r="G150" s="14" t="n">
        <v>2</v>
      </c>
      <c r="H150" s="14" t="n">
        <f aca="false">F150/G150</f>
        <v>11.5</v>
      </c>
      <c r="I150" s="14" t="n">
        <v>35.7</v>
      </c>
      <c r="J150" s="14" t="n">
        <v>1.2</v>
      </c>
      <c r="K150" s="14" t="n">
        <v>47.5</v>
      </c>
    </row>
    <row r="151" customFormat="false" ht="15" hidden="false" customHeight="true" outlineLevel="0" collapsed="false">
      <c r="A151" s="13" t="s">
        <v>497</v>
      </c>
      <c r="B151" s="13" t="s">
        <v>498</v>
      </c>
      <c r="C151" s="13" t="s">
        <v>456</v>
      </c>
      <c r="D151" s="13" t="s">
        <v>178</v>
      </c>
      <c r="E151" s="14" t="s">
        <v>277</v>
      </c>
      <c r="F151" s="14" t="n">
        <v>23</v>
      </c>
      <c r="G151" s="14" t="n">
        <v>2</v>
      </c>
      <c r="H151" s="14" t="n">
        <f aca="false">F151/G151</f>
        <v>11.5</v>
      </c>
      <c r="I151" s="14" t="n">
        <v>52</v>
      </c>
      <c r="J151" s="14" t="n">
        <v>1.1</v>
      </c>
      <c r="K151" s="14" t="n">
        <v>47.5</v>
      </c>
    </row>
    <row r="152" customFormat="false" ht="15" hidden="false" customHeight="true" outlineLevel="0" collapsed="false">
      <c r="A152" s="13" t="s">
        <v>499</v>
      </c>
      <c r="B152" s="13" t="s">
        <v>500</v>
      </c>
      <c r="C152" s="13" t="s">
        <v>501</v>
      </c>
      <c r="D152" s="13" t="s">
        <v>147</v>
      </c>
      <c r="E152" s="14" t="s">
        <v>277</v>
      </c>
      <c r="F152" s="14" t="n">
        <v>23</v>
      </c>
      <c r="G152" s="14" t="n">
        <v>2</v>
      </c>
      <c r="H152" s="14" t="n">
        <f aca="false">F152/G152</f>
        <v>11.5</v>
      </c>
      <c r="I152" s="14" t="n">
        <v>42.9</v>
      </c>
      <c r="J152" s="14" t="n">
        <v>0.2</v>
      </c>
      <c r="K152" s="14" t="n">
        <v>47.5</v>
      </c>
    </row>
    <row r="153" customFormat="false" ht="15" hidden="false" customHeight="true" outlineLevel="0" collapsed="false">
      <c r="A153" s="13" t="s">
        <v>502</v>
      </c>
      <c r="B153" s="13" t="s">
        <v>503</v>
      </c>
      <c r="C153" s="13" t="s">
        <v>504</v>
      </c>
      <c r="D153" s="13" t="s">
        <v>147</v>
      </c>
      <c r="E153" s="14" t="s">
        <v>277</v>
      </c>
      <c r="F153" s="14" t="n">
        <v>22</v>
      </c>
      <c r="G153" s="14" t="n">
        <v>2</v>
      </c>
      <c r="H153" s="14" t="n">
        <f aca="false">F153/G153</f>
        <v>11</v>
      </c>
      <c r="I153" s="14" t="n">
        <v>33.3</v>
      </c>
      <c r="J153" s="14" t="n">
        <v>1.4</v>
      </c>
      <c r="K153" s="14" t="n">
        <v>47.5</v>
      </c>
    </row>
    <row r="154" customFormat="false" ht="15" hidden="false" customHeight="true" outlineLevel="0" collapsed="false">
      <c r="A154" s="13" t="s">
        <v>505</v>
      </c>
      <c r="B154" s="13" t="s">
        <v>506</v>
      </c>
      <c r="C154" s="13" t="s">
        <v>507</v>
      </c>
      <c r="D154" s="13" t="s">
        <v>178</v>
      </c>
      <c r="E154" s="14" t="s">
        <v>277</v>
      </c>
      <c r="F154" s="14" t="n">
        <v>21</v>
      </c>
      <c r="G154" s="14" t="n">
        <v>2</v>
      </c>
      <c r="H154" s="14" t="n">
        <f aca="false">F154/G154</f>
        <v>10.5</v>
      </c>
      <c r="I154" s="14" t="n">
        <v>3.5</v>
      </c>
      <c r="J154" s="14" t="n">
        <v>9.5</v>
      </c>
      <c r="K154" s="14" t="n">
        <v>47.5</v>
      </c>
    </row>
    <row r="155" customFormat="false" ht="15" hidden="false" customHeight="true" outlineLevel="0" collapsed="false">
      <c r="A155" s="13" t="s">
        <v>508</v>
      </c>
      <c r="B155" s="13" t="s">
        <v>509</v>
      </c>
      <c r="C155" s="13" t="s">
        <v>510</v>
      </c>
      <c r="D155" s="13" t="s">
        <v>178</v>
      </c>
      <c r="E155" s="14" t="s">
        <v>277</v>
      </c>
      <c r="F155" s="14" t="n">
        <v>21</v>
      </c>
      <c r="G155" s="14" t="n">
        <v>2</v>
      </c>
      <c r="H155" s="14" t="n">
        <f aca="false">F155/G155</f>
        <v>10.5</v>
      </c>
      <c r="I155" s="14" t="n">
        <v>26.4</v>
      </c>
      <c r="J155" s="14" t="n">
        <v>5</v>
      </c>
      <c r="K155" s="14" t="n">
        <v>47.5</v>
      </c>
    </row>
    <row r="156" customFormat="false" ht="15" hidden="false" customHeight="true" outlineLevel="0" collapsed="false">
      <c r="A156" s="13" t="s">
        <v>511</v>
      </c>
      <c r="B156" s="13" t="s">
        <v>512</v>
      </c>
      <c r="C156" s="13" t="s">
        <v>513</v>
      </c>
      <c r="D156" s="13" t="s">
        <v>147</v>
      </c>
      <c r="E156" s="14" t="s">
        <v>277</v>
      </c>
      <c r="F156" s="14" t="n">
        <v>21</v>
      </c>
      <c r="G156" s="14" t="n">
        <v>2</v>
      </c>
      <c r="H156" s="14" t="n">
        <f aca="false">F156/G156</f>
        <v>10.5</v>
      </c>
      <c r="I156" s="14" t="n">
        <v>70.5</v>
      </c>
      <c r="J156" s="14" t="n">
        <v>2.8</v>
      </c>
      <c r="K156" s="14" t="n">
        <v>47.5</v>
      </c>
    </row>
    <row r="157" customFormat="false" ht="15" hidden="false" customHeight="true" outlineLevel="0" collapsed="false">
      <c r="A157" s="13" t="s">
        <v>514</v>
      </c>
      <c r="B157" s="13" t="s">
        <v>515</v>
      </c>
      <c r="C157" s="13" t="s">
        <v>516</v>
      </c>
      <c r="D157" s="13" t="s">
        <v>178</v>
      </c>
      <c r="E157" s="14" t="s">
        <v>277</v>
      </c>
      <c r="F157" s="14" t="n">
        <v>21</v>
      </c>
      <c r="G157" s="14" t="n">
        <v>2</v>
      </c>
      <c r="H157" s="14" t="n">
        <f aca="false">F157/G157</f>
        <v>10.5</v>
      </c>
      <c r="I157" s="14" t="n">
        <v>40.5</v>
      </c>
      <c r="J157" s="14" t="n">
        <v>1.9</v>
      </c>
      <c r="K157" s="14" t="n">
        <v>47.5</v>
      </c>
    </row>
    <row r="158" customFormat="false" ht="15" hidden="false" customHeight="true" outlineLevel="0" collapsed="false">
      <c r="A158" s="13" t="s">
        <v>517</v>
      </c>
      <c r="B158" s="13" t="s">
        <v>518</v>
      </c>
      <c r="C158" s="13" t="s">
        <v>519</v>
      </c>
      <c r="D158" s="13" t="s">
        <v>147</v>
      </c>
      <c r="E158" s="14" t="s">
        <v>277</v>
      </c>
      <c r="F158" s="14" t="n">
        <v>21</v>
      </c>
      <c r="G158" s="14" t="n">
        <v>2</v>
      </c>
      <c r="H158" s="14" t="n">
        <f aca="false">F158/G158</f>
        <v>10.5</v>
      </c>
      <c r="I158" s="14" t="n">
        <v>50</v>
      </c>
      <c r="J158" s="14" t="n">
        <v>1.7</v>
      </c>
      <c r="K158" s="14" t="n">
        <v>47.5</v>
      </c>
    </row>
    <row r="159" customFormat="false" ht="15" hidden="false" customHeight="true" outlineLevel="0" collapsed="false">
      <c r="A159" s="13" t="s">
        <v>520</v>
      </c>
      <c r="B159" s="13" t="s">
        <v>521</v>
      </c>
      <c r="C159" s="13" t="s">
        <v>522</v>
      </c>
      <c r="D159" s="13" t="s">
        <v>147</v>
      </c>
      <c r="E159" s="14" t="s">
        <v>277</v>
      </c>
      <c r="F159" s="14" t="n">
        <v>21</v>
      </c>
      <c r="G159" s="14" t="n">
        <v>2</v>
      </c>
      <c r="H159" s="14" t="n">
        <f aca="false">F159/G159</f>
        <v>10.5</v>
      </c>
      <c r="I159" s="14" t="n">
        <v>60.9</v>
      </c>
      <c r="J159" s="14" t="n">
        <v>1.1</v>
      </c>
      <c r="K159" s="14" t="n">
        <v>47.5</v>
      </c>
    </row>
    <row r="160" customFormat="false" ht="15" hidden="false" customHeight="true" outlineLevel="0" collapsed="false">
      <c r="A160" s="13" t="s">
        <v>523</v>
      </c>
      <c r="B160" s="13" t="s">
        <v>524</v>
      </c>
      <c r="C160" s="13" t="s">
        <v>525</v>
      </c>
      <c r="D160" s="13" t="s">
        <v>77</v>
      </c>
      <c r="E160" s="14" t="s">
        <v>277</v>
      </c>
      <c r="F160" s="14" t="n">
        <v>20</v>
      </c>
      <c r="G160" s="14" t="n">
        <v>2</v>
      </c>
      <c r="H160" s="14" t="n">
        <f aca="false">F160/G160</f>
        <v>10</v>
      </c>
      <c r="I160" s="14" t="n">
        <v>41.6</v>
      </c>
      <c r="J160" s="14" t="n">
        <v>13.3</v>
      </c>
      <c r="K160" s="14" t="n">
        <v>47.5</v>
      </c>
    </row>
    <row r="161" customFormat="false" ht="15" hidden="false" customHeight="true" outlineLevel="0" collapsed="false">
      <c r="A161" s="13" t="s">
        <v>526</v>
      </c>
      <c r="B161" s="13" t="s">
        <v>527</v>
      </c>
      <c r="C161" s="13" t="s">
        <v>350</v>
      </c>
      <c r="D161" s="13" t="s">
        <v>178</v>
      </c>
      <c r="E161" s="14" t="s">
        <v>277</v>
      </c>
      <c r="F161" s="14" t="n">
        <v>20</v>
      </c>
      <c r="G161" s="14" t="n">
        <v>2</v>
      </c>
      <c r="H161" s="14" t="n">
        <f aca="false">F161/G161</f>
        <v>10</v>
      </c>
      <c r="I161" s="14" t="n">
        <v>58.2</v>
      </c>
      <c r="J161" s="14" t="n">
        <v>5.5</v>
      </c>
      <c r="K161" s="14" t="n">
        <v>47.5</v>
      </c>
    </row>
    <row r="162" customFormat="false" ht="15" hidden="false" customHeight="true" outlineLevel="0" collapsed="false">
      <c r="A162" s="13" t="s">
        <v>528</v>
      </c>
      <c r="B162" s="13" t="s">
        <v>529</v>
      </c>
      <c r="C162" s="13" t="s">
        <v>530</v>
      </c>
      <c r="D162" s="13" t="s">
        <v>147</v>
      </c>
      <c r="E162" s="14" t="s">
        <v>277</v>
      </c>
      <c r="F162" s="14" t="n">
        <v>20</v>
      </c>
      <c r="G162" s="14" t="n">
        <v>2</v>
      </c>
      <c r="H162" s="14" t="n">
        <f aca="false">F162/G162</f>
        <v>10</v>
      </c>
      <c r="I162" s="14" t="n">
        <v>48.6</v>
      </c>
      <c r="J162" s="14" t="n">
        <v>5.5</v>
      </c>
      <c r="K162" s="14" t="n">
        <v>47.5</v>
      </c>
    </row>
    <row r="163" customFormat="false" ht="15" hidden="false" customHeight="true" outlineLevel="0" collapsed="false">
      <c r="A163" s="13" t="s">
        <v>531</v>
      </c>
      <c r="B163" s="13" t="s">
        <v>532</v>
      </c>
      <c r="C163" s="13" t="s">
        <v>533</v>
      </c>
      <c r="D163" s="13" t="s">
        <v>147</v>
      </c>
      <c r="E163" s="14" t="s">
        <v>277</v>
      </c>
      <c r="F163" s="14" t="n">
        <v>20</v>
      </c>
      <c r="G163" s="14" t="n">
        <v>2</v>
      </c>
      <c r="H163" s="14" t="n">
        <f aca="false">F163/G163</f>
        <v>10</v>
      </c>
      <c r="I163" s="14" t="n">
        <v>46.5</v>
      </c>
      <c r="J163" s="14" t="n">
        <v>3.2</v>
      </c>
      <c r="K163" s="14" t="n">
        <v>47.5</v>
      </c>
    </row>
    <row r="164" customFormat="false" ht="15" hidden="false" customHeight="true" outlineLevel="0" collapsed="false">
      <c r="A164" s="13" t="s">
        <v>534</v>
      </c>
      <c r="B164" s="13" t="s">
        <v>535</v>
      </c>
      <c r="C164" s="13" t="s">
        <v>536</v>
      </c>
      <c r="D164" s="13" t="s">
        <v>178</v>
      </c>
      <c r="E164" s="14" t="s">
        <v>277</v>
      </c>
      <c r="F164" s="14" t="n">
        <v>20</v>
      </c>
      <c r="G164" s="14" t="n">
        <v>2</v>
      </c>
      <c r="H164" s="14" t="n">
        <f aca="false">F164/G164</f>
        <v>10</v>
      </c>
      <c r="I164" s="14" t="n">
        <v>46.7</v>
      </c>
      <c r="J164" s="14" t="n">
        <v>2.3</v>
      </c>
      <c r="K164" s="14" t="n">
        <v>47.5</v>
      </c>
    </row>
    <row r="165" customFormat="false" ht="15" hidden="false" customHeight="true" outlineLevel="0" collapsed="false">
      <c r="A165" s="13" t="s">
        <v>537</v>
      </c>
      <c r="B165" s="13" t="s">
        <v>538</v>
      </c>
      <c r="C165" s="13" t="s">
        <v>539</v>
      </c>
      <c r="D165" s="13" t="s">
        <v>178</v>
      </c>
      <c r="E165" s="14" t="s">
        <v>277</v>
      </c>
      <c r="F165" s="14" t="n">
        <v>20</v>
      </c>
      <c r="G165" s="14" t="n">
        <v>2</v>
      </c>
      <c r="H165" s="14" t="n">
        <f aca="false">F165/G165</f>
        <v>10</v>
      </c>
      <c r="I165" s="14" t="n">
        <v>35</v>
      </c>
      <c r="J165" s="14" t="n">
        <v>1</v>
      </c>
      <c r="K165" s="14" t="n">
        <v>47.5</v>
      </c>
    </row>
    <row r="166" customFormat="false" ht="15" hidden="false" customHeight="true" outlineLevel="0" collapsed="false">
      <c r="A166" s="13" t="s">
        <v>540</v>
      </c>
      <c r="B166" s="13" t="s">
        <v>541</v>
      </c>
      <c r="C166" s="13" t="s">
        <v>542</v>
      </c>
      <c r="D166" s="13" t="s">
        <v>178</v>
      </c>
      <c r="E166" s="14" t="s">
        <v>277</v>
      </c>
      <c r="F166" s="14" t="n">
        <v>19</v>
      </c>
      <c r="G166" s="14" t="n">
        <v>2</v>
      </c>
      <c r="H166" s="14" t="n">
        <f aca="false">F166/G166</f>
        <v>9.5</v>
      </c>
      <c r="I166" s="14" t="n">
        <v>50</v>
      </c>
      <c r="J166" s="14" t="n">
        <v>1.8</v>
      </c>
      <c r="K166" s="14" t="n">
        <v>47.5</v>
      </c>
    </row>
    <row r="167" customFormat="false" ht="15" hidden="false" customHeight="true" outlineLevel="0" collapsed="false">
      <c r="A167" s="13" t="s">
        <v>543</v>
      </c>
      <c r="B167" s="13" t="s">
        <v>544</v>
      </c>
      <c r="C167" s="13" t="s">
        <v>545</v>
      </c>
      <c r="D167" s="13" t="s">
        <v>178</v>
      </c>
      <c r="E167" s="14" t="s">
        <v>277</v>
      </c>
      <c r="F167" s="14" t="n">
        <v>19</v>
      </c>
      <c r="G167" s="14" t="n">
        <v>2</v>
      </c>
      <c r="H167" s="14" t="n">
        <f aca="false">F167/G167</f>
        <v>9.5</v>
      </c>
      <c r="I167" s="14" t="n">
        <v>33.3</v>
      </c>
      <c r="J167" s="14" t="n">
        <v>1.3</v>
      </c>
      <c r="K167" s="14" t="n">
        <v>47.5</v>
      </c>
    </row>
    <row r="168" customFormat="false" ht="15" hidden="false" customHeight="true" outlineLevel="0" collapsed="false">
      <c r="A168" s="13" t="s">
        <v>546</v>
      </c>
      <c r="B168" s="13" t="s">
        <v>547</v>
      </c>
      <c r="C168" s="13" t="s">
        <v>548</v>
      </c>
      <c r="D168" s="13" t="s">
        <v>147</v>
      </c>
      <c r="E168" s="14" t="s">
        <v>277</v>
      </c>
      <c r="F168" s="14" t="n">
        <v>19</v>
      </c>
      <c r="G168" s="14" t="n">
        <v>2</v>
      </c>
      <c r="H168" s="14" t="n">
        <f aca="false">F168/G168</f>
        <v>9.5</v>
      </c>
      <c r="I168" s="14" t="n">
        <v>56.5</v>
      </c>
      <c r="J168" s="14" t="n">
        <v>1.2</v>
      </c>
      <c r="K168" s="14" t="n">
        <v>47.5</v>
      </c>
    </row>
    <row r="169" customFormat="false" ht="15" hidden="false" customHeight="true" outlineLevel="0" collapsed="false">
      <c r="A169" s="13" t="s">
        <v>549</v>
      </c>
      <c r="B169" s="13" t="s">
        <v>550</v>
      </c>
      <c r="C169" s="13" t="s">
        <v>195</v>
      </c>
      <c r="D169" s="13" t="s">
        <v>147</v>
      </c>
      <c r="E169" s="14" t="s">
        <v>277</v>
      </c>
      <c r="F169" s="14" t="n">
        <v>18</v>
      </c>
      <c r="G169" s="14" t="n">
        <v>2</v>
      </c>
      <c r="H169" s="14" t="n">
        <f aca="false">F169/G169</f>
        <v>9</v>
      </c>
      <c r="I169" s="14" t="n">
        <v>108.7</v>
      </c>
      <c r="J169" s="14" t="n">
        <v>11.4</v>
      </c>
      <c r="K169" s="14" t="n">
        <v>47.5</v>
      </c>
    </row>
    <row r="170" customFormat="false" ht="15" hidden="false" customHeight="true" outlineLevel="0" collapsed="false">
      <c r="A170" s="13" t="s">
        <v>551</v>
      </c>
      <c r="B170" s="13" t="s">
        <v>552</v>
      </c>
      <c r="C170" s="13" t="s">
        <v>553</v>
      </c>
      <c r="D170" s="13" t="s">
        <v>147</v>
      </c>
      <c r="E170" s="14" t="s">
        <v>277</v>
      </c>
      <c r="F170" s="14" t="n">
        <v>18</v>
      </c>
      <c r="G170" s="14" t="n">
        <v>2</v>
      </c>
      <c r="H170" s="14" t="n">
        <f aca="false">F170/G170</f>
        <v>9</v>
      </c>
      <c r="I170" s="14" t="n">
        <v>88.6</v>
      </c>
      <c r="J170" s="14" t="n">
        <v>5.5</v>
      </c>
      <c r="K170" s="14" t="n">
        <v>47.5</v>
      </c>
    </row>
    <row r="171" customFormat="false" ht="15" hidden="false" customHeight="true" outlineLevel="0" collapsed="false">
      <c r="A171" s="13" t="s">
        <v>554</v>
      </c>
      <c r="B171" s="13" t="s">
        <v>555</v>
      </c>
      <c r="C171" s="13" t="s">
        <v>318</v>
      </c>
      <c r="D171" s="13" t="s">
        <v>147</v>
      </c>
      <c r="E171" s="14" t="s">
        <v>277</v>
      </c>
      <c r="F171" s="14" t="n">
        <v>18</v>
      </c>
      <c r="G171" s="14" t="n">
        <v>2</v>
      </c>
      <c r="H171" s="14" t="n">
        <f aca="false">F171/G171</f>
        <v>9</v>
      </c>
      <c r="I171" s="14" t="n">
        <v>63.8</v>
      </c>
      <c r="J171" s="14" t="n">
        <v>2.5</v>
      </c>
      <c r="K171" s="14" t="n">
        <v>47.5</v>
      </c>
    </row>
    <row r="172" customFormat="false" ht="15" hidden="false" customHeight="true" outlineLevel="0" collapsed="false">
      <c r="A172" s="13" t="s">
        <v>556</v>
      </c>
      <c r="B172" s="13" t="s">
        <v>557</v>
      </c>
      <c r="C172" s="13" t="s">
        <v>409</v>
      </c>
      <c r="D172" s="13" t="s">
        <v>147</v>
      </c>
      <c r="E172" s="14" t="s">
        <v>277</v>
      </c>
      <c r="F172" s="14" t="n">
        <v>18</v>
      </c>
      <c r="G172" s="14" t="n">
        <v>2</v>
      </c>
      <c r="H172" s="14" t="n">
        <f aca="false">F172/G172</f>
        <v>9</v>
      </c>
      <c r="I172" s="14" t="n">
        <v>82.8</v>
      </c>
      <c r="J172" s="14" t="n">
        <v>1.5</v>
      </c>
      <c r="K172" s="14" t="n">
        <v>47.5</v>
      </c>
    </row>
    <row r="173" customFormat="false" ht="15" hidden="false" customHeight="true" outlineLevel="0" collapsed="false">
      <c r="A173" s="13" t="s">
        <v>558</v>
      </c>
      <c r="B173" s="13" t="s">
        <v>559</v>
      </c>
      <c r="C173" s="13" t="s">
        <v>560</v>
      </c>
      <c r="D173" s="13" t="s">
        <v>147</v>
      </c>
      <c r="E173" s="14" t="s">
        <v>277</v>
      </c>
      <c r="F173" s="14" t="n">
        <v>18</v>
      </c>
      <c r="G173" s="14" t="n">
        <v>2</v>
      </c>
      <c r="H173" s="14" t="n">
        <f aca="false">F173/G173</f>
        <v>9</v>
      </c>
      <c r="I173" s="14" t="n">
        <v>72</v>
      </c>
      <c r="J173" s="14" t="n">
        <v>1.4</v>
      </c>
      <c r="K173" s="14" t="n">
        <v>47.5</v>
      </c>
    </row>
    <row r="174" customFormat="false" ht="15" hidden="false" customHeight="true" outlineLevel="0" collapsed="false">
      <c r="A174" s="13" t="s">
        <v>561</v>
      </c>
      <c r="B174" s="13" t="s">
        <v>562</v>
      </c>
      <c r="C174" s="13" t="s">
        <v>251</v>
      </c>
      <c r="D174" s="13" t="s">
        <v>178</v>
      </c>
      <c r="E174" s="14" t="s">
        <v>277</v>
      </c>
      <c r="F174" s="14" t="n">
        <v>17</v>
      </c>
      <c r="G174" s="14" t="n">
        <v>2</v>
      </c>
      <c r="H174" s="14" t="n">
        <f aca="false">F174/G174</f>
        <v>8.5</v>
      </c>
      <c r="I174" s="14" t="n">
        <v>22.5</v>
      </c>
      <c r="J174" s="14" t="n">
        <v>5.3</v>
      </c>
      <c r="K174" s="14" t="n">
        <v>47.5</v>
      </c>
    </row>
    <row r="175" customFormat="false" ht="15" hidden="false" customHeight="true" outlineLevel="0" collapsed="false">
      <c r="A175" s="13" t="s">
        <v>563</v>
      </c>
      <c r="B175" s="13" t="s">
        <v>564</v>
      </c>
      <c r="C175" s="13" t="s">
        <v>456</v>
      </c>
      <c r="D175" s="13" t="s">
        <v>178</v>
      </c>
      <c r="E175" s="14" t="s">
        <v>277</v>
      </c>
      <c r="F175" s="14" t="n">
        <v>17</v>
      </c>
      <c r="G175" s="14" t="n">
        <v>2</v>
      </c>
      <c r="H175" s="14" t="n">
        <f aca="false">F175/G175</f>
        <v>8.5</v>
      </c>
      <c r="I175" s="14" t="n">
        <v>52.9</v>
      </c>
      <c r="J175" s="14" t="n">
        <v>1</v>
      </c>
      <c r="K175" s="14" t="n">
        <v>47.5</v>
      </c>
    </row>
    <row r="176" customFormat="false" ht="15" hidden="false" customHeight="true" outlineLevel="0" collapsed="false">
      <c r="A176" s="13" t="s">
        <v>565</v>
      </c>
      <c r="B176" s="13" t="s">
        <v>566</v>
      </c>
      <c r="C176" s="13" t="s">
        <v>567</v>
      </c>
      <c r="D176" s="13" t="s">
        <v>147</v>
      </c>
      <c r="E176" s="14" t="s">
        <v>277</v>
      </c>
      <c r="F176" s="14" t="n">
        <v>17</v>
      </c>
      <c r="G176" s="14" t="n">
        <v>2</v>
      </c>
      <c r="H176" s="14" t="n">
        <f aca="false">F176/G176</f>
        <v>8.5</v>
      </c>
      <c r="I176" s="14" t="n">
        <v>50</v>
      </c>
      <c r="J176" s="14" t="n">
        <v>0.9</v>
      </c>
      <c r="K176" s="14" t="n">
        <v>47.5</v>
      </c>
    </row>
    <row r="177" customFormat="false" ht="15" hidden="false" customHeight="true" outlineLevel="0" collapsed="false">
      <c r="A177" s="13" t="s">
        <v>568</v>
      </c>
      <c r="B177" s="13" t="s">
        <v>569</v>
      </c>
      <c r="C177" s="13" t="s">
        <v>381</v>
      </c>
      <c r="D177" s="13" t="s">
        <v>178</v>
      </c>
      <c r="E177" s="14" t="s">
        <v>277</v>
      </c>
      <c r="F177" s="14" t="n">
        <v>16</v>
      </c>
      <c r="G177" s="14" t="n">
        <v>2</v>
      </c>
      <c r="H177" s="14" t="n">
        <f aca="false">F177/G177</f>
        <v>8</v>
      </c>
      <c r="I177" s="14" t="n">
        <v>27.5</v>
      </c>
      <c r="J177" s="14" t="n">
        <v>5</v>
      </c>
      <c r="K177" s="14" t="n">
        <v>47.5</v>
      </c>
    </row>
    <row r="178" customFormat="false" ht="15" hidden="false" customHeight="true" outlineLevel="0" collapsed="false">
      <c r="A178" s="13" t="s">
        <v>570</v>
      </c>
      <c r="B178" s="13" t="s">
        <v>571</v>
      </c>
      <c r="C178" s="13" t="s">
        <v>381</v>
      </c>
      <c r="D178" s="13" t="s">
        <v>178</v>
      </c>
      <c r="E178" s="14" t="s">
        <v>277</v>
      </c>
      <c r="F178" s="14" t="n">
        <v>16</v>
      </c>
      <c r="G178" s="14" t="n">
        <v>2</v>
      </c>
      <c r="H178" s="14" t="n">
        <f aca="false">F178/G178</f>
        <v>8</v>
      </c>
      <c r="I178" s="14" t="n">
        <v>30.8</v>
      </c>
      <c r="J178" s="14" t="n">
        <v>4.9</v>
      </c>
      <c r="K178" s="14" t="n">
        <v>47.5</v>
      </c>
    </row>
    <row r="179" customFormat="false" ht="15" hidden="false" customHeight="true" outlineLevel="0" collapsed="false">
      <c r="A179" s="13" t="s">
        <v>572</v>
      </c>
      <c r="B179" s="13" t="s">
        <v>573</v>
      </c>
      <c r="C179" s="13" t="s">
        <v>574</v>
      </c>
      <c r="D179" s="13" t="s">
        <v>178</v>
      </c>
      <c r="E179" s="14" t="s">
        <v>277</v>
      </c>
      <c r="F179" s="14" t="n">
        <v>16</v>
      </c>
      <c r="G179" s="14" t="n">
        <v>2</v>
      </c>
      <c r="H179" s="14" t="n">
        <f aca="false">F179/G179</f>
        <v>8</v>
      </c>
      <c r="I179" s="14" t="n">
        <v>30.6</v>
      </c>
      <c r="J179" s="14" t="n">
        <v>3.1</v>
      </c>
      <c r="K179" s="14" t="n">
        <v>47.5</v>
      </c>
    </row>
    <row r="180" customFormat="false" ht="15" hidden="false" customHeight="true" outlineLevel="0" collapsed="false">
      <c r="A180" s="13" t="s">
        <v>575</v>
      </c>
      <c r="B180" s="13" t="s">
        <v>576</v>
      </c>
      <c r="C180" s="13" t="s">
        <v>577</v>
      </c>
      <c r="D180" s="13" t="s">
        <v>147</v>
      </c>
      <c r="E180" s="14" t="s">
        <v>277</v>
      </c>
      <c r="F180" s="14" t="n">
        <v>16</v>
      </c>
      <c r="G180" s="14" t="n">
        <v>2</v>
      </c>
      <c r="H180" s="14" t="n">
        <f aca="false">F180/G180</f>
        <v>8</v>
      </c>
      <c r="I180" s="14" t="n">
        <v>37.8</v>
      </c>
      <c r="J180" s="14" t="n">
        <v>2.3</v>
      </c>
      <c r="K180" s="14" t="n">
        <v>47.5</v>
      </c>
    </row>
    <row r="181" customFormat="false" ht="15" hidden="false" customHeight="true" outlineLevel="0" collapsed="false">
      <c r="A181" s="13" t="s">
        <v>578</v>
      </c>
      <c r="B181" s="13" t="s">
        <v>579</v>
      </c>
      <c r="C181" s="13" t="s">
        <v>418</v>
      </c>
      <c r="D181" s="13" t="s">
        <v>178</v>
      </c>
      <c r="E181" s="14" t="s">
        <v>277</v>
      </c>
      <c r="F181" s="14" t="n">
        <v>16</v>
      </c>
      <c r="G181" s="14" t="n">
        <v>2</v>
      </c>
      <c r="H181" s="14" t="n">
        <f aca="false">F181/G181</f>
        <v>8</v>
      </c>
      <c r="I181" s="14" t="n">
        <v>33.3</v>
      </c>
      <c r="J181" s="14" t="n">
        <v>1.9</v>
      </c>
      <c r="K181" s="14" t="n">
        <v>47.5</v>
      </c>
    </row>
    <row r="182" customFormat="false" ht="15" hidden="false" customHeight="true" outlineLevel="0" collapsed="false">
      <c r="A182" s="13" t="s">
        <v>580</v>
      </c>
      <c r="B182" s="13" t="s">
        <v>581</v>
      </c>
      <c r="C182" s="13" t="s">
        <v>582</v>
      </c>
      <c r="D182" s="13" t="s">
        <v>178</v>
      </c>
      <c r="E182" s="14" t="s">
        <v>277</v>
      </c>
      <c r="F182" s="14" t="n">
        <v>16</v>
      </c>
      <c r="G182" s="14" t="n">
        <v>2</v>
      </c>
      <c r="H182" s="14" t="n">
        <f aca="false">F182/G182</f>
        <v>8</v>
      </c>
      <c r="I182" s="14" t="n">
        <v>31.2</v>
      </c>
      <c r="J182" s="14" t="n">
        <v>1</v>
      </c>
      <c r="K182" s="14" t="n">
        <v>47.5</v>
      </c>
    </row>
    <row r="183" customFormat="false" ht="15" hidden="false" customHeight="true" outlineLevel="0" collapsed="false">
      <c r="A183" s="13" t="s">
        <v>583</v>
      </c>
      <c r="B183" s="13" t="s">
        <v>584</v>
      </c>
      <c r="C183" s="13" t="s">
        <v>585</v>
      </c>
      <c r="D183" s="13" t="s">
        <v>178</v>
      </c>
      <c r="E183" s="14" t="s">
        <v>277</v>
      </c>
      <c r="F183" s="14" t="n">
        <v>15</v>
      </c>
      <c r="G183" s="14" t="n">
        <v>2</v>
      </c>
      <c r="H183" s="14" t="n">
        <f aca="false">F183/G183</f>
        <v>7.5</v>
      </c>
      <c r="I183" s="14" t="n">
        <v>53.8</v>
      </c>
      <c r="J183" s="14" t="n">
        <v>14</v>
      </c>
      <c r="K183" s="14" t="n">
        <v>47.5</v>
      </c>
    </row>
    <row r="184" customFormat="false" ht="15" hidden="false" customHeight="true" outlineLevel="0" collapsed="false">
      <c r="A184" s="13" t="s">
        <v>586</v>
      </c>
      <c r="B184" s="13" t="s">
        <v>587</v>
      </c>
      <c r="C184" s="13" t="s">
        <v>480</v>
      </c>
      <c r="D184" s="13" t="s">
        <v>178</v>
      </c>
      <c r="E184" s="14" t="s">
        <v>277</v>
      </c>
      <c r="F184" s="14" t="n">
        <v>15</v>
      </c>
      <c r="G184" s="14" t="n">
        <v>2</v>
      </c>
      <c r="H184" s="14" t="n">
        <f aca="false">F184/G184</f>
        <v>7.5</v>
      </c>
      <c r="I184" s="14" t="n">
        <v>28.4</v>
      </c>
      <c r="J184" s="14" t="n">
        <v>3.9</v>
      </c>
      <c r="K184" s="14" t="n">
        <v>47.5</v>
      </c>
    </row>
    <row r="185" customFormat="false" ht="15" hidden="false" customHeight="true" outlineLevel="0" collapsed="false">
      <c r="A185" s="13" t="s">
        <v>588</v>
      </c>
      <c r="B185" s="13" t="s">
        <v>589</v>
      </c>
      <c r="C185" s="13" t="s">
        <v>590</v>
      </c>
      <c r="D185" s="13" t="s">
        <v>147</v>
      </c>
      <c r="E185" s="14" t="s">
        <v>277</v>
      </c>
      <c r="F185" s="14" t="n">
        <v>15</v>
      </c>
      <c r="G185" s="14" t="n">
        <v>2</v>
      </c>
      <c r="H185" s="14" t="n">
        <f aca="false">F185/G185</f>
        <v>7.5</v>
      </c>
      <c r="I185" s="14" t="n">
        <v>36.6</v>
      </c>
      <c r="J185" s="14" t="n">
        <v>2.7</v>
      </c>
      <c r="K185" s="14" t="n">
        <v>47.5</v>
      </c>
    </row>
    <row r="186" customFormat="false" ht="15" hidden="false" customHeight="true" outlineLevel="0" collapsed="false">
      <c r="A186" s="13" t="s">
        <v>591</v>
      </c>
      <c r="B186" s="13" t="s">
        <v>592</v>
      </c>
      <c r="C186" s="13" t="s">
        <v>593</v>
      </c>
      <c r="D186" s="13" t="s">
        <v>178</v>
      </c>
      <c r="E186" s="14" t="s">
        <v>277</v>
      </c>
      <c r="F186" s="14" t="n">
        <v>15</v>
      </c>
      <c r="G186" s="14" t="n">
        <v>2</v>
      </c>
      <c r="H186" s="14" t="n">
        <f aca="false">F186/G186</f>
        <v>7.5</v>
      </c>
      <c r="I186" s="14" t="n">
        <v>25</v>
      </c>
      <c r="J186" s="14" t="n">
        <v>2.7</v>
      </c>
      <c r="K186" s="14" t="n">
        <v>47.5</v>
      </c>
    </row>
    <row r="187" customFormat="false" ht="15" hidden="false" customHeight="true" outlineLevel="0" collapsed="false">
      <c r="A187" s="13" t="s">
        <v>594</v>
      </c>
      <c r="B187" s="13" t="s">
        <v>595</v>
      </c>
      <c r="C187" s="13" t="s">
        <v>596</v>
      </c>
      <c r="D187" s="13" t="s">
        <v>178</v>
      </c>
      <c r="E187" s="14" t="s">
        <v>277</v>
      </c>
      <c r="F187" s="14" t="n">
        <v>15</v>
      </c>
      <c r="G187" s="14" t="n">
        <v>2</v>
      </c>
      <c r="H187" s="14" t="n">
        <f aca="false">F187/G187</f>
        <v>7.5</v>
      </c>
      <c r="I187" s="14" t="n">
        <v>47.2</v>
      </c>
      <c r="J187" s="14" t="n">
        <v>2.4</v>
      </c>
      <c r="K187" s="14" t="n">
        <v>47.5</v>
      </c>
    </row>
    <row r="188" customFormat="false" ht="15" hidden="false" customHeight="true" outlineLevel="0" collapsed="false">
      <c r="A188" s="13" t="s">
        <v>597</v>
      </c>
      <c r="B188" s="13" t="s">
        <v>598</v>
      </c>
      <c r="C188" s="13" t="s">
        <v>418</v>
      </c>
      <c r="D188" s="13" t="s">
        <v>178</v>
      </c>
      <c r="E188" s="14" t="s">
        <v>277</v>
      </c>
      <c r="F188" s="14" t="n">
        <v>15</v>
      </c>
      <c r="G188" s="14" t="n">
        <v>2</v>
      </c>
      <c r="H188" s="14" t="n">
        <f aca="false">F188/G188</f>
        <v>7.5</v>
      </c>
      <c r="I188" s="14" t="n">
        <v>37.5</v>
      </c>
      <c r="J188" s="14" t="n">
        <v>1.6</v>
      </c>
      <c r="K188" s="14" t="n">
        <v>47.5</v>
      </c>
    </row>
    <row r="189" customFormat="false" ht="15" hidden="false" customHeight="true" outlineLevel="0" collapsed="false">
      <c r="A189" s="13" t="s">
        <v>599</v>
      </c>
      <c r="B189" s="13" t="s">
        <v>600</v>
      </c>
      <c r="C189" s="13" t="s">
        <v>601</v>
      </c>
      <c r="D189" s="13" t="s">
        <v>147</v>
      </c>
      <c r="E189" s="14" t="s">
        <v>277</v>
      </c>
      <c r="F189" s="14" t="n">
        <v>15</v>
      </c>
      <c r="G189" s="14" t="n">
        <v>2</v>
      </c>
      <c r="H189" s="14" t="n">
        <f aca="false">F189/G189</f>
        <v>7.5</v>
      </c>
      <c r="I189" s="14" t="n">
        <v>91.3</v>
      </c>
      <c r="J189" s="14" t="n">
        <v>1.4</v>
      </c>
      <c r="K189" s="14" t="n">
        <v>47.5</v>
      </c>
    </row>
    <row r="190" customFormat="false" ht="15" hidden="false" customHeight="true" outlineLevel="0" collapsed="false">
      <c r="A190" s="13" t="s">
        <v>602</v>
      </c>
      <c r="B190" s="13" t="s">
        <v>603</v>
      </c>
      <c r="C190" s="13" t="s">
        <v>469</v>
      </c>
      <c r="D190" s="13" t="s">
        <v>147</v>
      </c>
      <c r="E190" s="14" t="s">
        <v>277</v>
      </c>
      <c r="F190" s="14" t="n">
        <v>15</v>
      </c>
      <c r="G190" s="14" t="n">
        <v>2</v>
      </c>
      <c r="H190" s="14" t="n">
        <f aca="false">F190/G190</f>
        <v>7.5</v>
      </c>
      <c r="I190" s="14" t="n">
        <v>77.8</v>
      </c>
      <c r="J190" s="14" t="n">
        <v>1.2</v>
      </c>
      <c r="K190" s="14" t="n">
        <v>47.5</v>
      </c>
    </row>
    <row r="191" customFormat="false" ht="15" hidden="false" customHeight="true" outlineLevel="0" collapsed="false">
      <c r="A191" s="13" t="s">
        <v>604</v>
      </c>
      <c r="B191" s="13" t="s">
        <v>605</v>
      </c>
      <c r="C191" s="13" t="s">
        <v>606</v>
      </c>
      <c r="D191" s="13" t="s">
        <v>178</v>
      </c>
      <c r="E191" s="14" t="s">
        <v>277</v>
      </c>
      <c r="F191" s="14" t="n">
        <v>14</v>
      </c>
      <c r="G191" s="14" t="n">
        <v>2</v>
      </c>
      <c r="H191" s="14" t="n">
        <f aca="false">F191/G191</f>
        <v>7</v>
      </c>
      <c r="I191" s="14" t="n">
        <v>53.8</v>
      </c>
      <c r="J191" s="14" t="n">
        <v>2.8</v>
      </c>
      <c r="K191" s="14" t="n">
        <v>47.5</v>
      </c>
    </row>
    <row r="192" customFormat="false" ht="15" hidden="false" customHeight="true" outlineLevel="0" collapsed="false">
      <c r="A192" s="13" t="s">
        <v>607</v>
      </c>
      <c r="B192" s="13" t="s">
        <v>608</v>
      </c>
      <c r="C192" s="13" t="s">
        <v>609</v>
      </c>
      <c r="D192" s="13" t="s">
        <v>178</v>
      </c>
      <c r="E192" s="14" t="s">
        <v>277</v>
      </c>
      <c r="F192" s="14" t="n">
        <v>14</v>
      </c>
      <c r="G192" s="14" t="n">
        <v>2</v>
      </c>
      <c r="H192" s="14" t="n">
        <f aca="false">F192/G192</f>
        <v>7</v>
      </c>
      <c r="I192" s="14" t="n">
        <v>35.9</v>
      </c>
      <c r="J192" s="14" t="n">
        <v>2.8</v>
      </c>
      <c r="K192" s="14" t="n">
        <v>47.5</v>
      </c>
    </row>
    <row r="193" customFormat="false" ht="15" hidden="false" customHeight="true" outlineLevel="0" collapsed="false">
      <c r="A193" s="13" t="s">
        <v>610</v>
      </c>
      <c r="B193" s="13" t="s">
        <v>611</v>
      </c>
      <c r="C193" s="13" t="s">
        <v>612</v>
      </c>
      <c r="D193" s="13" t="s">
        <v>178</v>
      </c>
      <c r="E193" s="14" t="s">
        <v>277</v>
      </c>
      <c r="F193" s="14" t="n">
        <v>14</v>
      </c>
      <c r="G193" s="14" t="n">
        <v>2</v>
      </c>
      <c r="H193" s="14" t="n">
        <f aca="false">F193/G193</f>
        <v>7</v>
      </c>
      <c r="I193" s="14" t="n">
        <v>39.5</v>
      </c>
      <c r="J193" s="14" t="n">
        <v>2.7</v>
      </c>
      <c r="K193" s="14" t="n">
        <v>47.5</v>
      </c>
    </row>
    <row r="194" customFormat="false" ht="15" hidden="false" customHeight="true" outlineLevel="0" collapsed="false">
      <c r="A194" s="13" t="s">
        <v>613</v>
      </c>
      <c r="B194" s="13" t="s">
        <v>614</v>
      </c>
      <c r="C194" s="13" t="s">
        <v>615</v>
      </c>
      <c r="D194" s="13" t="s">
        <v>178</v>
      </c>
      <c r="E194" s="14" t="s">
        <v>277</v>
      </c>
      <c r="F194" s="14" t="n">
        <v>14</v>
      </c>
      <c r="G194" s="14" t="n">
        <v>2</v>
      </c>
      <c r="H194" s="14" t="n">
        <f aca="false">F194/G194</f>
        <v>7</v>
      </c>
      <c r="I194" s="14" t="n">
        <v>23.5</v>
      </c>
      <c r="J194" s="14" t="n">
        <v>1.2</v>
      </c>
      <c r="K194" s="14" t="n">
        <v>47.5</v>
      </c>
    </row>
    <row r="195" customFormat="false" ht="15" hidden="false" customHeight="true" outlineLevel="0" collapsed="false">
      <c r="A195" s="13" t="s">
        <v>616</v>
      </c>
      <c r="B195" s="13" t="s">
        <v>617</v>
      </c>
      <c r="C195" s="13" t="s">
        <v>618</v>
      </c>
      <c r="D195" s="13" t="s">
        <v>147</v>
      </c>
      <c r="E195" s="14" t="s">
        <v>277</v>
      </c>
      <c r="F195" s="14" t="n">
        <v>14</v>
      </c>
      <c r="G195" s="14" t="n">
        <v>2</v>
      </c>
      <c r="H195" s="14" t="n">
        <f aca="false">F195/G195</f>
        <v>7</v>
      </c>
      <c r="I195" s="14" t="n">
        <v>100</v>
      </c>
      <c r="J195" s="14" t="n">
        <v>0.9</v>
      </c>
      <c r="K195" s="14" t="n">
        <v>47.5</v>
      </c>
    </row>
    <row r="196" customFormat="false" ht="15" hidden="false" customHeight="true" outlineLevel="0" collapsed="false">
      <c r="A196" s="13" t="s">
        <v>619</v>
      </c>
      <c r="B196" s="13" t="s">
        <v>620</v>
      </c>
      <c r="C196" s="13" t="s">
        <v>621</v>
      </c>
      <c r="D196" s="13" t="s">
        <v>77</v>
      </c>
      <c r="E196" s="14" t="s">
        <v>277</v>
      </c>
      <c r="F196" s="14" t="n">
        <v>13</v>
      </c>
      <c r="G196" s="14" t="n">
        <v>2</v>
      </c>
      <c r="H196" s="14" t="n">
        <f aca="false">F196/G196</f>
        <v>6.5</v>
      </c>
      <c r="I196" s="14" t="n">
        <v>46.6</v>
      </c>
      <c r="J196" s="14" t="n">
        <v>8.9</v>
      </c>
      <c r="K196" s="14" t="n">
        <v>47.5</v>
      </c>
    </row>
    <row r="197" customFormat="false" ht="15" hidden="false" customHeight="true" outlineLevel="0" collapsed="false">
      <c r="A197" s="13" t="s">
        <v>622</v>
      </c>
      <c r="B197" s="13" t="s">
        <v>623</v>
      </c>
      <c r="C197" s="13" t="s">
        <v>359</v>
      </c>
      <c r="D197" s="13" t="s">
        <v>178</v>
      </c>
      <c r="E197" s="14" t="s">
        <v>277</v>
      </c>
      <c r="F197" s="14" t="n">
        <v>13</v>
      </c>
      <c r="G197" s="14" t="n">
        <v>2</v>
      </c>
      <c r="H197" s="14" t="n">
        <f aca="false">F197/G197</f>
        <v>6.5</v>
      </c>
      <c r="I197" s="14" t="n">
        <v>25</v>
      </c>
      <c r="J197" s="14" t="n">
        <v>5.3</v>
      </c>
      <c r="K197" s="14" t="n">
        <v>47.5</v>
      </c>
    </row>
    <row r="198" customFormat="false" ht="15" hidden="false" customHeight="true" outlineLevel="0" collapsed="false">
      <c r="A198" s="13" t="s">
        <v>624</v>
      </c>
      <c r="B198" s="13" t="s">
        <v>625</v>
      </c>
      <c r="C198" s="13" t="s">
        <v>626</v>
      </c>
      <c r="D198" s="13" t="s">
        <v>178</v>
      </c>
      <c r="E198" s="14" t="s">
        <v>277</v>
      </c>
      <c r="F198" s="14" t="n">
        <v>13</v>
      </c>
      <c r="G198" s="14" t="n">
        <v>2</v>
      </c>
      <c r="H198" s="14" t="n">
        <f aca="false">F198/G198</f>
        <v>6.5</v>
      </c>
      <c r="I198" s="14" t="n">
        <v>35.7</v>
      </c>
      <c r="J198" s="14" t="n">
        <v>3.3</v>
      </c>
      <c r="K198" s="14" t="n">
        <v>47.5</v>
      </c>
    </row>
    <row r="199" customFormat="false" ht="15" hidden="false" customHeight="true" outlineLevel="0" collapsed="false">
      <c r="A199" s="13" t="s">
        <v>627</v>
      </c>
      <c r="B199" s="13" t="s">
        <v>628</v>
      </c>
      <c r="C199" s="13" t="s">
        <v>629</v>
      </c>
      <c r="D199" s="13" t="s">
        <v>178</v>
      </c>
      <c r="E199" s="14" t="s">
        <v>277</v>
      </c>
      <c r="F199" s="14" t="n">
        <v>13</v>
      </c>
      <c r="G199" s="14" t="n">
        <v>2</v>
      </c>
      <c r="H199" s="14" t="n">
        <f aca="false">F199/G199</f>
        <v>6.5</v>
      </c>
      <c r="I199" s="14" t="n">
        <v>26.7</v>
      </c>
      <c r="J199" s="14" t="n">
        <v>2.4</v>
      </c>
      <c r="K199" s="14" t="n">
        <v>47.5</v>
      </c>
    </row>
    <row r="200" customFormat="false" ht="15" hidden="false" customHeight="true" outlineLevel="0" collapsed="false">
      <c r="A200" s="13" t="s">
        <v>630</v>
      </c>
      <c r="B200" s="13" t="s">
        <v>631</v>
      </c>
      <c r="C200" s="13" t="s">
        <v>632</v>
      </c>
      <c r="D200" s="13" t="s">
        <v>178</v>
      </c>
      <c r="E200" s="14" t="s">
        <v>277</v>
      </c>
      <c r="F200" s="14" t="n">
        <v>13</v>
      </c>
      <c r="G200" s="14" t="n">
        <v>2</v>
      </c>
      <c r="H200" s="14" t="n">
        <f aca="false">F200/G200</f>
        <v>6.5</v>
      </c>
      <c r="I200" s="14" t="n">
        <v>43.3</v>
      </c>
      <c r="J200" s="14" t="n">
        <v>2.3</v>
      </c>
      <c r="K200" s="14" t="n">
        <v>47.5</v>
      </c>
    </row>
    <row r="201" customFormat="false" ht="15" hidden="false" customHeight="true" outlineLevel="0" collapsed="false">
      <c r="A201" s="13" t="s">
        <v>633</v>
      </c>
      <c r="B201" s="13" t="s">
        <v>634</v>
      </c>
      <c r="C201" s="13" t="s">
        <v>409</v>
      </c>
      <c r="D201" s="13" t="s">
        <v>147</v>
      </c>
      <c r="E201" s="14" t="s">
        <v>277</v>
      </c>
      <c r="F201" s="14" t="n">
        <v>13</v>
      </c>
      <c r="G201" s="14" t="n">
        <v>2</v>
      </c>
      <c r="H201" s="14" t="n">
        <f aca="false">F201/G201</f>
        <v>6.5</v>
      </c>
      <c r="I201" s="14" t="n">
        <v>85.7</v>
      </c>
      <c r="J201" s="14" t="n">
        <v>1.7</v>
      </c>
      <c r="K201" s="14" t="n">
        <v>47.5</v>
      </c>
    </row>
    <row r="202" customFormat="false" ht="15" hidden="false" customHeight="true" outlineLevel="0" collapsed="false">
      <c r="A202" s="13" t="s">
        <v>635</v>
      </c>
      <c r="B202" s="13" t="s">
        <v>636</v>
      </c>
      <c r="C202" s="13" t="s">
        <v>409</v>
      </c>
      <c r="D202" s="13" t="s">
        <v>147</v>
      </c>
      <c r="E202" s="14" t="s">
        <v>277</v>
      </c>
      <c r="F202" s="14" t="n">
        <v>13</v>
      </c>
      <c r="G202" s="14" t="n">
        <v>2</v>
      </c>
      <c r="H202" s="14" t="n">
        <f aca="false">F202/G202</f>
        <v>6.5</v>
      </c>
      <c r="I202" s="14" t="n">
        <v>82.4</v>
      </c>
      <c r="J202" s="14" t="n">
        <v>1.2</v>
      </c>
      <c r="K202" s="14" t="n">
        <v>47.5</v>
      </c>
    </row>
    <row r="203" customFormat="false" ht="15" hidden="false" customHeight="true" outlineLevel="0" collapsed="false">
      <c r="A203" s="13" t="s">
        <v>637</v>
      </c>
      <c r="B203" s="13" t="s">
        <v>638</v>
      </c>
      <c r="C203" s="13" t="s">
        <v>639</v>
      </c>
      <c r="D203" s="13" t="s">
        <v>178</v>
      </c>
      <c r="E203" s="14" t="s">
        <v>277</v>
      </c>
      <c r="F203" s="14" t="n">
        <v>13</v>
      </c>
      <c r="G203" s="14" t="n">
        <v>2</v>
      </c>
      <c r="H203" s="14" t="n">
        <f aca="false">F203/G203</f>
        <v>6.5</v>
      </c>
      <c r="I203" s="14" t="n">
        <v>37.5</v>
      </c>
      <c r="J203" s="14" t="n">
        <v>1.2</v>
      </c>
      <c r="K203" s="14" t="n">
        <v>47.5</v>
      </c>
    </row>
    <row r="204" customFormat="false" ht="15" hidden="false" customHeight="true" outlineLevel="0" collapsed="false">
      <c r="A204" s="13" t="s">
        <v>640</v>
      </c>
      <c r="B204" s="13" t="s">
        <v>641</v>
      </c>
      <c r="C204" s="13" t="s">
        <v>536</v>
      </c>
      <c r="D204" s="13" t="s">
        <v>178</v>
      </c>
      <c r="E204" s="14" t="s">
        <v>277</v>
      </c>
      <c r="F204" s="14" t="n">
        <v>13</v>
      </c>
      <c r="G204" s="14" t="n">
        <v>2</v>
      </c>
      <c r="H204" s="14" t="n">
        <f aca="false">F204/G204</f>
        <v>6.5</v>
      </c>
      <c r="I204" s="14" t="n">
        <v>33.3</v>
      </c>
      <c r="J204" s="14" t="n">
        <v>1</v>
      </c>
      <c r="K204" s="14" t="n">
        <v>47.5</v>
      </c>
    </row>
    <row r="205" customFormat="false" ht="15" hidden="false" customHeight="true" outlineLevel="0" collapsed="false">
      <c r="A205" s="13" t="s">
        <v>642</v>
      </c>
      <c r="B205" s="13" t="s">
        <v>643</v>
      </c>
      <c r="C205" s="13" t="s">
        <v>582</v>
      </c>
      <c r="D205" s="13" t="s">
        <v>178</v>
      </c>
      <c r="E205" s="14" t="s">
        <v>277</v>
      </c>
      <c r="F205" s="14" t="n">
        <v>13</v>
      </c>
      <c r="G205" s="14" t="n">
        <v>2</v>
      </c>
      <c r="H205" s="14" t="n">
        <f aca="false">F205/G205</f>
        <v>6.5</v>
      </c>
      <c r="I205" s="14" t="n">
        <v>38.5</v>
      </c>
      <c r="J205" s="14" t="n">
        <v>1.1</v>
      </c>
      <c r="K205" s="14" t="n">
        <v>47.5</v>
      </c>
    </row>
    <row r="206" customFormat="false" ht="15" hidden="false" customHeight="true" outlineLevel="0" collapsed="false">
      <c r="A206" s="13" t="s">
        <v>644</v>
      </c>
      <c r="B206" s="13" t="s">
        <v>645</v>
      </c>
      <c r="C206" s="13" t="s">
        <v>646</v>
      </c>
      <c r="D206" s="13" t="s">
        <v>178</v>
      </c>
      <c r="E206" s="14" t="s">
        <v>277</v>
      </c>
      <c r="F206" s="14" t="n">
        <v>12</v>
      </c>
      <c r="G206" s="14" t="n">
        <v>2</v>
      </c>
      <c r="H206" s="14" t="n">
        <f aca="false">F206/G206</f>
        <v>6</v>
      </c>
      <c r="I206" s="14" t="n">
        <v>15</v>
      </c>
      <c r="J206" s="14" t="n">
        <v>41</v>
      </c>
      <c r="K206" s="14" t="n">
        <v>47.5</v>
      </c>
    </row>
    <row r="207" customFormat="false" ht="15" hidden="false" customHeight="true" outlineLevel="0" collapsed="false">
      <c r="A207" s="13" t="s">
        <v>647</v>
      </c>
      <c r="B207" s="13" t="s">
        <v>648</v>
      </c>
      <c r="C207" s="13" t="s">
        <v>649</v>
      </c>
      <c r="D207" s="13" t="s">
        <v>147</v>
      </c>
      <c r="E207" s="14" t="s">
        <v>277</v>
      </c>
      <c r="F207" s="14" t="n">
        <v>12</v>
      </c>
      <c r="G207" s="14" t="n">
        <v>2</v>
      </c>
      <c r="H207" s="14" t="n">
        <f aca="false">F207/G207</f>
        <v>6</v>
      </c>
      <c r="I207" s="14" t="n">
        <v>150</v>
      </c>
      <c r="J207" s="14" t="n">
        <v>11.6</v>
      </c>
      <c r="K207" s="14" t="n">
        <v>47.5</v>
      </c>
    </row>
    <row r="208" customFormat="false" ht="15" hidden="false" customHeight="true" outlineLevel="0" collapsed="false">
      <c r="A208" s="13" t="s">
        <v>650</v>
      </c>
      <c r="B208" s="13" t="s">
        <v>651</v>
      </c>
      <c r="C208" s="13" t="s">
        <v>652</v>
      </c>
      <c r="D208" s="13" t="s">
        <v>178</v>
      </c>
      <c r="E208" s="14" t="s">
        <v>277</v>
      </c>
      <c r="F208" s="14" t="n">
        <v>12</v>
      </c>
      <c r="G208" s="14" t="n">
        <v>2</v>
      </c>
      <c r="H208" s="14" t="n">
        <f aca="false">F208/G208</f>
        <v>6</v>
      </c>
      <c r="I208" s="14" t="n">
        <v>44.4</v>
      </c>
      <c r="J208" s="14" t="n">
        <v>10.4</v>
      </c>
      <c r="K208" s="14" t="n">
        <v>47.5</v>
      </c>
    </row>
    <row r="209" customFormat="false" ht="15" hidden="false" customHeight="true" outlineLevel="0" collapsed="false">
      <c r="A209" s="13" t="s">
        <v>653</v>
      </c>
      <c r="B209" s="13" t="s">
        <v>654</v>
      </c>
      <c r="C209" s="13" t="s">
        <v>655</v>
      </c>
      <c r="D209" s="13" t="s">
        <v>178</v>
      </c>
      <c r="E209" s="14" t="s">
        <v>277</v>
      </c>
      <c r="F209" s="14" t="n">
        <v>12</v>
      </c>
      <c r="G209" s="14" t="n">
        <v>2</v>
      </c>
      <c r="H209" s="14" t="n">
        <f aca="false">F209/G209</f>
        <v>6</v>
      </c>
      <c r="I209" s="14" t="n">
        <v>44.1</v>
      </c>
      <c r="J209" s="14" t="n">
        <v>9.2</v>
      </c>
      <c r="K209" s="14" t="n">
        <v>47.5</v>
      </c>
    </row>
    <row r="210" customFormat="false" ht="15" hidden="false" customHeight="true" outlineLevel="0" collapsed="false">
      <c r="A210" s="13" t="s">
        <v>656</v>
      </c>
      <c r="B210" s="13" t="s">
        <v>657</v>
      </c>
      <c r="C210" s="13" t="s">
        <v>658</v>
      </c>
      <c r="D210" s="13" t="s">
        <v>178</v>
      </c>
      <c r="E210" s="14" t="s">
        <v>277</v>
      </c>
      <c r="F210" s="14" t="n">
        <v>12</v>
      </c>
      <c r="G210" s="14" t="n">
        <v>2</v>
      </c>
      <c r="H210" s="14" t="n">
        <f aca="false">F210/G210</f>
        <v>6</v>
      </c>
      <c r="I210" s="14" t="n">
        <v>40.6</v>
      </c>
      <c r="J210" s="14" t="n">
        <v>1.5</v>
      </c>
      <c r="K210" s="14" t="n">
        <v>47.5</v>
      </c>
    </row>
    <row r="211" customFormat="false" ht="15" hidden="false" customHeight="true" outlineLevel="0" collapsed="false">
      <c r="A211" s="13" t="s">
        <v>659</v>
      </c>
      <c r="B211" s="13" t="s">
        <v>660</v>
      </c>
      <c r="C211" s="13" t="s">
        <v>661</v>
      </c>
      <c r="D211" s="13" t="s">
        <v>178</v>
      </c>
      <c r="E211" s="14" t="s">
        <v>277</v>
      </c>
      <c r="F211" s="14" t="n">
        <v>12</v>
      </c>
      <c r="G211" s="14" t="n">
        <v>2</v>
      </c>
      <c r="H211" s="14" t="n">
        <f aca="false">F211/G211</f>
        <v>6</v>
      </c>
      <c r="I211" s="14" t="n">
        <v>55.6</v>
      </c>
      <c r="J211" s="14" t="n">
        <v>1.5</v>
      </c>
      <c r="K211" s="14" t="n">
        <v>47.5</v>
      </c>
    </row>
    <row r="212" customFormat="false" ht="15" hidden="false" customHeight="true" outlineLevel="0" collapsed="false">
      <c r="A212" s="13" t="s">
        <v>662</v>
      </c>
      <c r="B212" s="13" t="s">
        <v>663</v>
      </c>
      <c r="C212" s="13" t="s">
        <v>593</v>
      </c>
      <c r="D212" s="13" t="s">
        <v>178</v>
      </c>
      <c r="E212" s="14" t="s">
        <v>277</v>
      </c>
      <c r="F212" s="14" t="n">
        <v>11</v>
      </c>
      <c r="G212" s="14" t="n">
        <v>2</v>
      </c>
      <c r="H212" s="14" t="n">
        <f aca="false">F212/G212</f>
        <v>5.5</v>
      </c>
      <c r="I212" s="14" t="n">
        <v>25.7</v>
      </c>
      <c r="J212" s="14" t="n">
        <v>6.4</v>
      </c>
      <c r="K212" s="14" t="n">
        <v>47.5</v>
      </c>
    </row>
    <row r="213" customFormat="false" ht="15" hidden="false" customHeight="true" outlineLevel="0" collapsed="false">
      <c r="A213" s="13" t="s">
        <v>664</v>
      </c>
      <c r="B213" s="13" t="s">
        <v>665</v>
      </c>
      <c r="C213" s="13" t="s">
        <v>666</v>
      </c>
      <c r="D213" s="13" t="s">
        <v>147</v>
      </c>
      <c r="E213" s="14" t="s">
        <v>277</v>
      </c>
      <c r="F213" s="14" t="n">
        <v>11</v>
      </c>
      <c r="G213" s="14" t="n">
        <v>2</v>
      </c>
      <c r="H213" s="14" t="n">
        <f aca="false">F213/G213</f>
        <v>5.5</v>
      </c>
      <c r="I213" s="14" t="n">
        <v>93.8</v>
      </c>
      <c r="J213" s="14" t="n">
        <v>3</v>
      </c>
      <c r="K213" s="14" t="n">
        <v>47.5</v>
      </c>
    </row>
    <row r="214" customFormat="false" ht="15" hidden="false" customHeight="true" outlineLevel="0" collapsed="false">
      <c r="A214" s="13" t="s">
        <v>667</v>
      </c>
      <c r="B214" s="13" t="s">
        <v>668</v>
      </c>
      <c r="C214" s="13" t="s">
        <v>669</v>
      </c>
      <c r="D214" s="13" t="s">
        <v>178</v>
      </c>
      <c r="E214" s="14" t="s">
        <v>277</v>
      </c>
      <c r="F214" s="14" t="n">
        <v>11</v>
      </c>
      <c r="G214" s="14" t="n">
        <v>2</v>
      </c>
      <c r="H214" s="14" t="n">
        <f aca="false">F214/G214</f>
        <v>5.5</v>
      </c>
      <c r="I214" s="14" t="n">
        <v>82.1</v>
      </c>
      <c r="J214" s="14" t="n">
        <v>1.9</v>
      </c>
      <c r="K214" s="14" t="n">
        <v>47.5</v>
      </c>
    </row>
    <row r="215" customFormat="false" ht="15" hidden="false" customHeight="true" outlineLevel="0" collapsed="false">
      <c r="A215" s="13" t="s">
        <v>670</v>
      </c>
      <c r="B215" s="13" t="s">
        <v>671</v>
      </c>
      <c r="C215" s="13" t="s">
        <v>672</v>
      </c>
      <c r="D215" s="13" t="s">
        <v>178</v>
      </c>
      <c r="E215" s="14" t="s">
        <v>277</v>
      </c>
      <c r="F215" s="14" t="n">
        <v>11</v>
      </c>
      <c r="G215" s="14" t="n">
        <v>2</v>
      </c>
      <c r="H215" s="14" t="n">
        <f aca="false">F215/G215</f>
        <v>5.5</v>
      </c>
      <c r="I215" s="14" t="n">
        <v>45.8</v>
      </c>
      <c r="J215" s="14" t="n">
        <v>2.2</v>
      </c>
      <c r="K215" s="14" t="n">
        <v>47.5</v>
      </c>
    </row>
    <row r="216" customFormat="false" ht="15" hidden="false" customHeight="true" outlineLevel="0" collapsed="false">
      <c r="A216" s="13" t="s">
        <v>673</v>
      </c>
      <c r="B216" s="13" t="s">
        <v>674</v>
      </c>
      <c r="C216" s="13" t="s">
        <v>675</v>
      </c>
      <c r="D216" s="13" t="s">
        <v>147</v>
      </c>
      <c r="E216" s="14" t="s">
        <v>277</v>
      </c>
      <c r="F216" s="14" t="n">
        <v>11</v>
      </c>
      <c r="G216" s="14" t="n">
        <v>2</v>
      </c>
      <c r="H216" s="14" t="n">
        <f aca="false">F216/G216</f>
        <v>5.5</v>
      </c>
      <c r="I216" s="14" t="n">
        <v>54.2</v>
      </c>
      <c r="J216" s="14" t="n">
        <v>2.2</v>
      </c>
      <c r="K216" s="14" t="n">
        <v>47.5</v>
      </c>
    </row>
    <row r="217" customFormat="false" ht="15" hidden="false" customHeight="true" outlineLevel="0" collapsed="false">
      <c r="A217" s="13" t="s">
        <v>676</v>
      </c>
      <c r="B217" s="13" t="s">
        <v>677</v>
      </c>
      <c r="C217" s="13" t="s">
        <v>678</v>
      </c>
      <c r="D217" s="13" t="s">
        <v>178</v>
      </c>
      <c r="E217" s="14" t="s">
        <v>277</v>
      </c>
      <c r="F217" s="14" t="n">
        <v>11</v>
      </c>
      <c r="G217" s="14" t="n">
        <v>2</v>
      </c>
      <c r="H217" s="14" t="n">
        <f aca="false">F217/G217</f>
        <v>5.5</v>
      </c>
      <c r="I217" s="14" t="n">
        <v>35</v>
      </c>
      <c r="J217" s="14" t="n">
        <v>1.6</v>
      </c>
      <c r="K217" s="14" t="n">
        <v>47.5</v>
      </c>
    </row>
    <row r="218" customFormat="false" ht="15" hidden="false" customHeight="true" outlineLevel="0" collapsed="false">
      <c r="A218" s="13" t="s">
        <v>679</v>
      </c>
      <c r="B218" s="13" t="s">
        <v>680</v>
      </c>
      <c r="C218" s="13" t="s">
        <v>681</v>
      </c>
      <c r="D218" s="13" t="s">
        <v>147</v>
      </c>
      <c r="E218" s="14" t="s">
        <v>277</v>
      </c>
      <c r="F218" s="14" t="n">
        <v>11</v>
      </c>
      <c r="G218" s="14" t="n">
        <v>2</v>
      </c>
      <c r="H218" s="14" t="n">
        <f aca="false">F218/G218</f>
        <v>5.5</v>
      </c>
      <c r="I218" s="14" t="n">
        <v>10</v>
      </c>
      <c r="J218" s="14" t="n">
        <v>1</v>
      </c>
      <c r="K218" s="14" t="n">
        <v>47.5</v>
      </c>
    </row>
    <row r="219" customFormat="false" ht="15" hidden="false" customHeight="true" outlineLevel="0" collapsed="false">
      <c r="A219" s="13" t="s">
        <v>682</v>
      </c>
      <c r="B219" s="13" t="s">
        <v>683</v>
      </c>
      <c r="C219" s="13" t="s">
        <v>684</v>
      </c>
      <c r="D219" s="13" t="s">
        <v>147</v>
      </c>
      <c r="E219" s="14" t="s">
        <v>277</v>
      </c>
      <c r="F219" s="14" t="n">
        <v>11</v>
      </c>
      <c r="G219" s="14" t="n">
        <v>2</v>
      </c>
      <c r="H219" s="14" t="n">
        <f aca="false">F219/G219</f>
        <v>5.5</v>
      </c>
      <c r="I219" s="14" t="n">
        <v>50</v>
      </c>
      <c r="J219" s="14" t="n">
        <v>0.8</v>
      </c>
      <c r="K219" s="14" t="n">
        <v>47.5</v>
      </c>
    </row>
    <row r="220" customFormat="false" ht="15" hidden="false" customHeight="true" outlineLevel="0" collapsed="false">
      <c r="A220" s="13" t="s">
        <v>685</v>
      </c>
      <c r="B220" s="13" t="s">
        <v>686</v>
      </c>
      <c r="C220" s="13" t="s">
        <v>687</v>
      </c>
      <c r="D220" s="13" t="s">
        <v>147</v>
      </c>
      <c r="E220" s="14" t="s">
        <v>277</v>
      </c>
      <c r="F220" s="14" t="n">
        <v>10</v>
      </c>
      <c r="G220" s="14" t="n">
        <v>2</v>
      </c>
      <c r="H220" s="14" t="n">
        <f aca="false">F220/G220</f>
        <v>5</v>
      </c>
      <c r="I220" s="14" t="n">
        <v>122.7</v>
      </c>
      <c r="J220" s="14" t="n">
        <v>2.2</v>
      </c>
      <c r="K220" s="14" t="n">
        <v>47.5</v>
      </c>
    </row>
    <row r="221" customFormat="false" ht="15" hidden="false" customHeight="true" outlineLevel="0" collapsed="false">
      <c r="A221" s="13" t="s">
        <v>688</v>
      </c>
      <c r="B221" s="13" t="s">
        <v>689</v>
      </c>
      <c r="C221" s="13" t="s">
        <v>582</v>
      </c>
      <c r="D221" s="13" t="s">
        <v>178</v>
      </c>
      <c r="E221" s="14" t="s">
        <v>277</v>
      </c>
      <c r="F221" s="14" t="n">
        <v>10</v>
      </c>
      <c r="G221" s="14" t="n">
        <v>2</v>
      </c>
      <c r="H221" s="14" t="n">
        <f aca="false">F221/G221</f>
        <v>5</v>
      </c>
      <c r="I221" s="14" t="n">
        <v>22.2</v>
      </c>
      <c r="J221" s="14" t="n">
        <v>1.9</v>
      </c>
      <c r="K221" s="14" t="n">
        <v>47.5</v>
      </c>
    </row>
    <row r="222" customFormat="false" ht="15" hidden="false" customHeight="true" outlineLevel="0" collapsed="false">
      <c r="A222" s="13" t="s">
        <v>690</v>
      </c>
      <c r="B222" s="13" t="s">
        <v>691</v>
      </c>
      <c r="C222" s="13" t="s">
        <v>593</v>
      </c>
      <c r="D222" s="13" t="s">
        <v>178</v>
      </c>
      <c r="E222" s="14" t="s">
        <v>277</v>
      </c>
      <c r="F222" s="14" t="n">
        <v>10</v>
      </c>
      <c r="G222" s="14" t="n">
        <v>2</v>
      </c>
      <c r="H222" s="14" t="n">
        <f aca="false">F222/G222</f>
        <v>5</v>
      </c>
      <c r="I222" s="14" t="n">
        <v>25</v>
      </c>
      <c r="J222" s="14" t="n">
        <v>1.3</v>
      </c>
      <c r="K222" s="14" t="n">
        <v>47.5</v>
      </c>
    </row>
    <row r="223" customFormat="false" ht="15" hidden="false" customHeight="true" outlineLevel="0" collapsed="false">
      <c r="A223" s="13" t="s">
        <v>692</v>
      </c>
      <c r="B223" s="13" t="s">
        <v>693</v>
      </c>
      <c r="C223" s="13" t="s">
        <v>694</v>
      </c>
      <c r="D223" s="13" t="s">
        <v>147</v>
      </c>
      <c r="E223" s="14" t="s">
        <v>277</v>
      </c>
      <c r="F223" s="14" t="n">
        <v>10</v>
      </c>
      <c r="G223" s="14" t="n">
        <v>2</v>
      </c>
      <c r="H223" s="14" t="n">
        <f aca="false">F223/G223</f>
        <v>5</v>
      </c>
      <c r="I223" s="14" t="n">
        <v>8.3</v>
      </c>
      <c r="J223" s="14" t="n">
        <v>1.2</v>
      </c>
      <c r="K223" s="14" t="n">
        <v>47.5</v>
      </c>
    </row>
    <row r="224" customFormat="false" ht="15" hidden="false" customHeight="true" outlineLevel="0" collapsed="false">
      <c r="A224" s="13" t="s">
        <v>695</v>
      </c>
      <c r="B224" s="13" t="s">
        <v>696</v>
      </c>
      <c r="C224" s="13" t="s">
        <v>697</v>
      </c>
      <c r="D224" s="13" t="s">
        <v>178</v>
      </c>
      <c r="E224" s="14" t="s">
        <v>277</v>
      </c>
      <c r="F224" s="14" t="n">
        <v>10</v>
      </c>
      <c r="G224" s="14" t="n">
        <v>2</v>
      </c>
      <c r="H224" s="14" t="n">
        <f aca="false">F224/G224</f>
        <v>5</v>
      </c>
      <c r="I224" s="14" t="n">
        <v>41.7</v>
      </c>
      <c r="J224" s="14" t="n">
        <v>1.2</v>
      </c>
      <c r="K224" s="14" t="n">
        <v>47.5</v>
      </c>
    </row>
    <row r="225" customFormat="false" ht="15" hidden="false" customHeight="true" outlineLevel="0" collapsed="false">
      <c r="A225" s="13" t="s">
        <v>698</v>
      </c>
      <c r="B225" s="13" t="s">
        <v>699</v>
      </c>
      <c r="C225" s="13" t="s">
        <v>700</v>
      </c>
      <c r="D225" s="13" t="s">
        <v>178</v>
      </c>
      <c r="E225" s="14" t="s">
        <v>277</v>
      </c>
      <c r="F225" s="14" t="n">
        <v>9</v>
      </c>
      <c r="G225" s="14" t="n">
        <v>2</v>
      </c>
      <c r="H225" s="14" t="n">
        <f aca="false">F225/G225</f>
        <v>4.5</v>
      </c>
      <c r="I225" s="14" t="n">
        <v>11.3</v>
      </c>
      <c r="J225" s="14" t="n">
        <v>3.6</v>
      </c>
      <c r="K225" s="14" t="n">
        <v>47.5</v>
      </c>
    </row>
    <row r="226" customFormat="false" ht="15" hidden="false" customHeight="true" outlineLevel="0" collapsed="false">
      <c r="A226" s="13" t="s">
        <v>701</v>
      </c>
      <c r="B226" s="13" t="s">
        <v>702</v>
      </c>
      <c r="C226" s="13" t="s">
        <v>700</v>
      </c>
      <c r="D226" s="13" t="s">
        <v>178</v>
      </c>
      <c r="E226" s="14" t="s">
        <v>277</v>
      </c>
      <c r="F226" s="14" t="n">
        <v>9</v>
      </c>
      <c r="G226" s="14" t="n">
        <v>2</v>
      </c>
      <c r="H226" s="14" t="n">
        <f aca="false">F226/G226</f>
        <v>4.5</v>
      </c>
      <c r="I226" s="14" t="n">
        <v>8.3</v>
      </c>
      <c r="J226" s="14" t="n">
        <v>1.9</v>
      </c>
      <c r="K226" s="14" t="n">
        <v>47.5</v>
      </c>
    </row>
    <row r="227" customFormat="false" ht="15" hidden="false" customHeight="true" outlineLevel="0" collapsed="false">
      <c r="A227" s="13" t="s">
        <v>703</v>
      </c>
      <c r="B227" s="13" t="s">
        <v>704</v>
      </c>
      <c r="C227" s="13" t="s">
        <v>705</v>
      </c>
      <c r="D227" s="13" t="s">
        <v>147</v>
      </c>
      <c r="E227" s="14" t="s">
        <v>277</v>
      </c>
      <c r="F227" s="14" t="n">
        <v>9</v>
      </c>
      <c r="G227" s="14" t="n">
        <v>2</v>
      </c>
      <c r="H227" s="14" t="n">
        <f aca="false">F227/G227</f>
        <v>4.5</v>
      </c>
      <c r="I227" s="14" t="n">
        <v>36.4</v>
      </c>
      <c r="J227" s="14" t="n">
        <v>2.4</v>
      </c>
      <c r="K227" s="14" t="n">
        <v>47.5</v>
      </c>
    </row>
    <row r="228" customFormat="false" ht="15" hidden="false" customHeight="true" outlineLevel="0" collapsed="false">
      <c r="A228" s="13" t="s">
        <v>706</v>
      </c>
      <c r="B228" s="13" t="s">
        <v>707</v>
      </c>
      <c r="C228" s="13" t="s">
        <v>708</v>
      </c>
      <c r="D228" s="13" t="s">
        <v>178</v>
      </c>
      <c r="E228" s="14" t="s">
        <v>277</v>
      </c>
      <c r="F228" s="14" t="n">
        <v>9</v>
      </c>
      <c r="G228" s="14" t="n">
        <v>2</v>
      </c>
      <c r="H228" s="14" t="n">
        <f aca="false">F228/G228</f>
        <v>4.5</v>
      </c>
      <c r="I228" s="14" t="n">
        <v>10</v>
      </c>
      <c r="J228" s="14" t="n">
        <v>1.1</v>
      </c>
      <c r="K228" s="14" t="n">
        <v>47.5</v>
      </c>
    </row>
    <row r="229" customFormat="false" ht="15" hidden="false" customHeight="true" outlineLevel="0" collapsed="false">
      <c r="A229" s="13" t="s">
        <v>709</v>
      </c>
      <c r="B229" s="13" t="s">
        <v>710</v>
      </c>
      <c r="C229" s="13" t="s">
        <v>711</v>
      </c>
      <c r="D229" s="13" t="s">
        <v>178</v>
      </c>
      <c r="E229" s="14" t="s">
        <v>277</v>
      </c>
      <c r="F229" s="14" t="n">
        <v>8</v>
      </c>
      <c r="G229" s="14" t="n">
        <v>2</v>
      </c>
      <c r="H229" s="14" t="n">
        <f aca="false">F229/G229</f>
        <v>4</v>
      </c>
      <c r="I229" s="14" t="n">
        <v>35.5</v>
      </c>
      <c r="J229" s="14" t="n">
        <v>15.3</v>
      </c>
      <c r="K229" s="14" t="n">
        <v>47.5</v>
      </c>
    </row>
    <row r="230" customFormat="false" ht="15" hidden="false" customHeight="true" outlineLevel="0" collapsed="false">
      <c r="A230" s="13" t="s">
        <v>712</v>
      </c>
      <c r="B230" s="13" t="s">
        <v>713</v>
      </c>
      <c r="C230" s="13" t="s">
        <v>582</v>
      </c>
      <c r="D230" s="13" t="s">
        <v>178</v>
      </c>
      <c r="E230" s="14" t="s">
        <v>277</v>
      </c>
      <c r="F230" s="14" t="n">
        <v>8</v>
      </c>
      <c r="G230" s="14" t="n">
        <v>2</v>
      </c>
      <c r="H230" s="14" t="n">
        <f aca="false">F230/G230</f>
        <v>4</v>
      </c>
      <c r="I230" s="14" t="n">
        <v>36.8</v>
      </c>
      <c r="J230" s="14" t="n">
        <v>5.2</v>
      </c>
      <c r="K230" s="14" t="n">
        <v>47.5</v>
      </c>
    </row>
    <row r="231" customFormat="false" ht="15" hidden="false" customHeight="true" outlineLevel="0" collapsed="false">
      <c r="A231" s="13" t="s">
        <v>714</v>
      </c>
      <c r="B231" s="13" t="s">
        <v>715</v>
      </c>
      <c r="C231" s="13" t="s">
        <v>716</v>
      </c>
      <c r="D231" s="13" t="s">
        <v>178</v>
      </c>
      <c r="E231" s="14" t="s">
        <v>277</v>
      </c>
      <c r="F231" s="14" t="n">
        <v>8</v>
      </c>
      <c r="G231" s="14" t="n">
        <v>2</v>
      </c>
      <c r="H231" s="14" t="n">
        <f aca="false">F231/G231</f>
        <v>4</v>
      </c>
      <c r="I231" s="14" t="n">
        <v>49</v>
      </c>
      <c r="J231" s="14" t="n">
        <v>5.4</v>
      </c>
      <c r="K231" s="14" t="n">
        <v>47.5</v>
      </c>
    </row>
    <row r="232" customFormat="false" ht="15" hidden="false" customHeight="true" outlineLevel="0" collapsed="false">
      <c r="A232" s="13" t="s">
        <v>717</v>
      </c>
      <c r="B232" s="13" t="s">
        <v>718</v>
      </c>
      <c r="C232" s="13" t="s">
        <v>719</v>
      </c>
      <c r="D232" s="13" t="s">
        <v>178</v>
      </c>
      <c r="E232" s="14" t="s">
        <v>277</v>
      </c>
      <c r="F232" s="14" t="n">
        <v>8</v>
      </c>
      <c r="G232" s="14" t="n">
        <v>2</v>
      </c>
      <c r="H232" s="14" t="n">
        <f aca="false">F232/G232</f>
        <v>4</v>
      </c>
      <c r="I232" s="14" t="n">
        <v>7.1</v>
      </c>
      <c r="J232" s="14" t="n">
        <v>2.2</v>
      </c>
      <c r="K232" s="14" t="n">
        <v>47.5</v>
      </c>
    </row>
    <row r="233" customFormat="false" ht="15" hidden="false" customHeight="true" outlineLevel="0" collapsed="false">
      <c r="A233" s="13" t="s">
        <v>720</v>
      </c>
      <c r="B233" s="13" t="s">
        <v>721</v>
      </c>
      <c r="C233" s="13" t="s">
        <v>350</v>
      </c>
      <c r="D233" s="13" t="s">
        <v>178</v>
      </c>
      <c r="E233" s="14" t="s">
        <v>277</v>
      </c>
      <c r="F233" s="14" t="n">
        <v>8</v>
      </c>
      <c r="G233" s="14" t="n">
        <v>2</v>
      </c>
      <c r="H233" s="14" t="n">
        <f aca="false">F233/G233</f>
        <v>4</v>
      </c>
      <c r="I233" s="14" t="n">
        <v>44.4</v>
      </c>
      <c r="J233" s="14" t="n">
        <v>3.4</v>
      </c>
      <c r="K233" s="14" t="n">
        <v>47.5</v>
      </c>
    </row>
    <row r="234" customFormat="false" ht="15" hidden="false" customHeight="true" outlineLevel="0" collapsed="false">
      <c r="A234" s="13" t="s">
        <v>722</v>
      </c>
      <c r="B234" s="13" t="s">
        <v>723</v>
      </c>
      <c r="C234" s="13" t="s">
        <v>390</v>
      </c>
      <c r="D234" s="13" t="s">
        <v>178</v>
      </c>
      <c r="E234" s="14" t="s">
        <v>277</v>
      </c>
      <c r="F234" s="14" t="n">
        <v>8</v>
      </c>
      <c r="G234" s="14" t="n">
        <v>2</v>
      </c>
      <c r="H234" s="14" t="n">
        <f aca="false">F234/G234</f>
        <v>4</v>
      </c>
      <c r="I234" s="14" t="n">
        <v>46.2</v>
      </c>
      <c r="J234" s="14" t="n">
        <v>3.3</v>
      </c>
      <c r="K234" s="14" t="n">
        <v>47.5</v>
      </c>
    </row>
    <row r="235" customFormat="false" ht="15" hidden="false" customHeight="true" outlineLevel="0" collapsed="false">
      <c r="A235" s="13" t="s">
        <v>724</v>
      </c>
      <c r="B235" s="13" t="s">
        <v>725</v>
      </c>
      <c r="C235" s="13" t="s">
        <v>390</v>
      </c>
      <c r="D235" s="13" t="s">
        <v>178</v>
      </c>
      <c r="E235" s="14" t="s">
        <v>277</v>
      </c>
      <c r="F235" s="14" t="n">
        <v>8</v>
      </c>
      <c r="G235" s="14" t="n">
        <v>2</v>
      </c>
      <c r="H235" s="14" t="n">
        <f aca="false">F235/G235</f>
        <v>4</v>
      </c>
      <c r="I235" s="14" t="n">
        <v>55</v>
      </c>
      <c r="J235" s="14" t="n">
        <v>2.5</v>
      </c>
      <c r="K235" s="14" t="n">
        <v>47.5</v>
      </c>
    </row>
    <row r="236" customFormat="false" ht="15" hidden="false" customHeight="true" outlineLevel="0" collapsed="false">
      <c r="A236" s="13" t="s">
        <v>726</v>
      </c>
      <c r="B236" s="13" t="s">
        <v>727</v>
      </c>
      <c r="C236" s="13" t="s">
        <v>728</v>
      </c>
      <c r="D236" s="13" t="s">
        <v>147</v>
      </c>
      <c r="E236" s="14" t="s">
        <v>277</v>
      </c>
      <c r="F236" s="14" t="n">
        <v>8</v>
      </c>
      <c r="G236" s="14" t="n">
        <v>2</v>
      </c>
      <c r="H236" s="14" t="n">
        <f aca="false">F236/G236</f>
        <v>4</v>
      </c>
      <c r="I236" s="14" t="n">
        <v>31.6</v>
      </c>
      <c r="J236" s="14" t="n">
        <v>2.4</v>
      </c>
      <c r="K236" s="14" t="n">
        <v>47.5</v>
      </c>
    </row>
    <row r="237" customFormat="false" ht="15" hidden="false" customHeight="true" outlineLevel="0" collapsed="false">
      <c r="A237" s="13" t="s">
        <v>729</v>
      </c>
      <c r="B237" s="13" t="s">
        <v>730</v>
      </c>
      <c r="C237" s="13" t="s">
        <v>731</v>
      </c>
      <c r="D237" s="13" t="s">
        <v>178</v>
      </c>
      <c r="E237" s="14" t="s">
        <v>277</v>
      </c>
      <c r="F237" s="14" t="n">
        <v>8</v>
      </c>
      <c r="G237" s="14" t="n">
        <v>2</v>
      </c>
      <c r="H237" s="14" t="n">
        <f aca="false">F237/G237</f>
        <v>4</v>
      </c>
      <c r="I237" s="14" t="n">
        <v>22.2</v>
      </c>
      <c r="J237" s="14" t="n">
        <v>1.2</v>
      </c>
      <c r="K237" s="14" t="n">
        <v>47.5</v>
      </c>
    </row>
    <row r="238" customFormat="false" ht="15" hidden="false" customHeight="true" outlineLevel="0" collapsed="false">
      <c r="A238" s="13" t="s">
        <v>732</v>
      </c>
      <c r="B238" s="13" t="s">
        <v>733</v>
      </c>
      <c r="C238" s="13" t="s">
        <v>734</v>
      </c>
      <c r="D238" s="13" t="s">
        <v>147</v>
      </c>
      <c r="E238" s="14" t="s">
        <v>277</v>
      </c>
      <c r="F238" s="14" t="n">
        <v>8</v>
      </c>
      <c r="G238" s="14" t="n">
        <v>2</v>
      </c>
      <c r="H238" s="14" t="n">
        <f aca="false">F238/G238</f>
        <v>4</v>
      </c>
      <c r="I238" s="14" t="n">
        <v>33.3</v>
      </c>
      <c r="J238" s="14" t="n">
        <v>1.2</v>
      </c>
      <c r="K238" s="14" t="n">
        <v>47.5</v>
      </c>
    </row>
    <row r="239" customFormat="false" ht="15" hidden="false" customHeight="true" outlineLevel="0" collapsed="false">
      <c r="A239" s="13" t="s">
        <v>735</v>
      </c>
      <c r="B239" s="13" t="s">
        <v>736</v>
      </c>
      <c r="C239" s="13" t="s">
        <v>737</v>
      </c>
      <c r="D239" s="13" t="s">
        <v>147</v>
      </c>
      <c r="E239" s="14" t="s">
        <v>277</v>
      </c>
      <c r="F239" s="14" t="n">
        <v>8</v>
      </c>
      <c r="G239" s="14" t="n">
        <v>2</v>
      </c>
      <c r="H239" s="14" t="n">
        <f aca="false">F239/G239</f>
        <v>4</v>
      </c>
      <c r="I239" s="14" t="n">
        <v>12.5</v>
      </c>
      <c r="J239" s="14" t="n">
        <v>1</v>
      </c>
      <c r="K239" s="14" t="n">
        <v>47.5</v>
      </c>
    </row>
    <row r="240" customFormat="false" ht="15" hidden="false" customHeight="true" outlineLevel="0" collapsed="false">
      <c r="A240" s="13" t="s">
        <v>738</v>
      </c>
      <c r="B240" s="13" t="s">
        <v>739</v>
      </c>
      <c r="C240" s="13" t="s">
        <v>740</v>
      </c>
      <c r="D240" s="13" t="s">
        <v>178</v>
      </c>
      <c r="E240" s="14" t="s">
        <v>277</v>
      </c>
      <c r="F240" s="14" t="n">
        <v>8</v>
      </c>
      <c r="G240" s="14" t="n">
        <v>2</v>
      </c>
      <c r="H240" s="14" t="n">
        <f aca="false">F240/G240</f>
        <v>4</v>
      </c>
      <c r="I240" s="14" t="n">
        <v>16.7</v>
      </c>
      <c r="J240" s="14" t="n">
        <v>0.9</v>
      </c>
      <c r="K240" s="14" t="n">
        <v>47.5</v>
      </c>
    </row>
    <row r="241" customFormat="false" ht="15" hidden="false" customHeight="true" outlineLevel="0" collapsed="false">
      <c r="A241" s="13" t="s">
        <v>741</v>
      </c>
      <c r="B241" s="13" t="s">
        <v>742</v>
      </c>
      <c r="C241" s="13" t="s">
        <v>743</v>
      </c>
      <c r="D241" s="13" t="s">
        <v>178</v>
      </c>
      <c r="E241" s="14" t="s">
        <v>277</v>
      </c>
      <c r="F241" s="14" t="n">
        <v>8</v>
      </c>
      <c r="G241" s="14" t="n">
        <v>2</v>
      </c>
      <c r="H241" s="14" t="n">
        <f aca="false">F241/G241</f>
        <v>4</v>
      </c>
      <c r="I241" s="14" t="n">
        <v>40</v>
      </c>
      <c r="J241" s="14" t="n">
        <v>0.7</v>
      </c>
      <c r="K241" s="14" t="n">
        <v>47.5</v>
      </c>
    </row>
    <row r="242" customFormat="false" ht="15" hidden="false" customHeight="true" outlineLevel="0" collapsed="false">
      <c r="A242" s="13" t="s">
        <v>744</v>
      </c>
      <c r="B242" s="13" t="s">
        <v>745</v>
      </c>
      <c r="C242" s="13" t="s">
        <v>746</v>
      </c>
      <c r="D242" s="13" t="s">
        <v>178</v>
      </c>
      <c r="E242" s="14" t="s">
        <v>277</v>
      </c>
      <c r="F242" s="14" t="n">
        <v>8</v>
      </c>
      <c r="G242" s="14" t="n">
        <v>2</v>
      </c>
      <c r="H242" s="14" t="n">
        <f aca="false">F242/G242</f>
        <v>4</v>
      </c>
      <c r="I242" s="14" t="n">
        <v>60</v>
      </c>
      <c r="J242" s="14" t="n">
        <v>0.5</v>
      </c>
      <c r="K242" s="14" t="n">
        <v>47.5</v>
      </c>
    </row>
    <row r="243" customFormat="false" ht="15" hidden="false" customHeight="true" outlineLevel="0" collapsed="false">
      <c r="A243" s="13" t="s">
        <v>747</v>
      </c>
      <c r="B243" s="13" t="s">
        <v>748</v>
      </c>
      <c r="C243" s="13" t="s">
        <v>749</v>
      </c>
      <c r="D243" s="13" t="s">
        <v>77</v>
      </c>
      <c r="E243" s="14" t="s">
        <v>277</v>
      </c>
      <c r="F243" s="14" t="n">
        <v>7</v>
      </c>
      <c r="G243" s="14" t="n">
        <v>2</v>
      </c>
      <c r="H243" s="14" t="n">
        <f aca="false">F243/G243</f>
        <v>3.5</v>
      </c>
      <c r="I243" s="14" t="n">
        <v>30.5</v>
      </c>
      <c r="J243" s="14" t="n">
        <v>61.4</v>
      </c>
      <c r="K243" s="14" t="n">
        <v>47.5</v>
      </c>
    </row>
    <row r="244" customFormat="false" ht="15" hidden="false" customHeight="true" outlineLevel="0" collapsed="false">
      <c r="A244" s="13" t="s">
        <v>750</v>
      </c>
      <c r="B244" s="13" t="s">
        <v>751</v>
      </c>
      <c r="C244" s="13" t="s">
        <v>752</v>
      </c>
      <c r="D244" s="13" t="s">
        <v>178</v>
      </c>
      <c r="E244" s="14" t="s">
        <v>277</v>
      </c>
      <c r="F244" s="14" t="n">
        <v>7</v>
      </c>
      <c r="G244" s="14" t="n">
        <v>2</v>
      </c>
      <c r="H244" s="14" t="n">
        <f aca="false">F244/G244</f>
        <v>3.5</v>
      </c>
      <c r="I244" s="14" t="n">
        <v>23.8</v>
      </c>
      <c r="J244" s="14" t="n">
        <v>15</v>
      </c>
      <c r="K244" s="14" t="n">
        <v>47.5</v>
      </c>
    </row>
    <row r="245" customFormat="false" ht="15" hidden="false" customHeight="true" outlineLevel="0" collapsed="false">
      <c r="A245" s="13" t="s">
        <v>753</v>
      </c>
      <c r="B245" s="13" t="s">
        <v>754</v>
      </c>
      <c r="C245" s="13" t="s">
        <v>755</v>
      </c>
      <c r="D245" s="13" t="s">
        <v>178</v>
      </c>
      <c r="E245" s="14" t="s">
        <v>277</v>
      </c>
      <c r="F245" s="14" t="n">
        <v>7</v>
      </c>
      <c r="G245" s="14" t="n">
        <v>2</v>
      </c>
      <c r="H245" s="14" t="n">
        <f aca="false">F245/G245</f>
        <v>3.5</v>
      </c>
      <c r="I245" s="14" t="n">
        <v>42.9</v>
      </c>
      <c r="J245" s="14" t="n">
        <v>13.1</v>
      </c>
      <c r="K245" s="14" t="n">
        <v>47.5</v>
      </c>
    </row>
    <row r="246" customFormat="false" ht="15" hidden="false" customHeight="true" outlineLevel="0" collapsed="false">
      <c r="A246" s="13" t="s">
        <v>756</v>
      </c>
      <c r="B246" s="13" t="s">
        <v>757</v>
      </c>
      <c r="C246" s="13" t="s">
        <v>758</v>
      </c>
      <c r="D246" s="13" t="s">
        <v>77</v>
      </c>
      <c r="E246" s="14" t="s">
        <v>277</v>
      </c>
      <c r="F246" s="14" t="n">
        <v>7</v>
      </c>
      <c r="G246" s="14" t="n">
        <v>2</v>
      </c>
      <c r="H246" s="14" t="n">
        <f aca="false">F246/G246</f>
        <v>3.5</v>
      </c>
      <c r="I246" s="14" t="n">
        <v>45.9</v>
      </c>
      <c r="J246" s="14" t="n">
        <v>6.1</v>
      </c>
      <c r="K246" s="14" t="n">
        <v>47.5</v>
      </c>
    </row>
    <row r="247" customFormat="false" ht="15" hidden="false" customHeight="true" outlineLevel="0" collapsed="false">
      <c r="A247" s="13" t="s">
        <v>759</v>
      </c>
      <c r="B247" s="13" t="s">
        <v>760</v>
      </c>
      <c r="C247" s="13" t="s">
        <v>761</v>
      </c>
      <c r="D247" s="13" t="s">
        <v>147</v>
      </c>
      <c r="E247" s="14" t="s">
        <v>277</v>
      </c>
      <c r="F247" s="14" t="n">
        <v>7</v>
      </c>
      <c r="G247" s="14" t="n">
        <v>2</v>
      </c>
      <c r="H247" s="14" t="n">
        <f aca="false">F247/G247</f>
        <v>3.5</v>
      </c>
      <c r="I247" s="14" t="n">
        <v>135.9</v>
      </c>
      <c r="J247" s="14" t="n">
        <v>4.9</v>
      </c>
      <c r="K247" s="14" t="n">
        <v>47.5</v>
      </c>
    </row>
    <row r="248" customFormat="false" ht="15" hidden="false" customHeight="true" outlineLevel="0" collapsed="false">
      <c r="A248" s="13" t="s">
        <v>762</v>
      </c>
      <c r="B248" s="13" t="s">
        <v>763</v>
      </c>
      <c r="C248" s="13" t="s">
        <v>764</v>
      </c>
      <c r="D248" s="13" t="s">
        <v>178</v>
      </c>
      <c r="E248" s="14" t="s">
        <v>277</v>
      </c>
      <c r="F248" s="14" t="n">
        <v>7</v>
      </c>
      <c r="G248" s="14" t="n">
        <v>2</v>
      </c>
      <c r="H248" s="14" t="n">
        <f aca="false">F248/G248</f>
        <v>3.5</v>
      </c>
      <c r="I248" s="14" t="n">
        <v>56.2</v>
      </c>
      <c r="J248" s="14" t="n">
        <v>3.6</v>
      </c>
      <c r="K248" s="14" t="n">
        <v>47.5</v>
      </c>
    </row>
    <row r="249" customFormat="false" ht="15" hidden="false" customHeight="true" outlineLevel="0" collapsed="false">
      <c r="A249" s="13" t="s">
        <v>765</v>
      </c>
      <c r="B249" s="13" t="s">
        <v>766</v>
      </c>
      <c r="C249" s="13" t="s">
        <v>700</v>
      </c>
      <c r="D249" s="13" t="s">
        <v>178</v>
      </c>
      <c r="E249" s="14" t="s">
        <v>277</v>
      </c>
      <c r="F249" s="14" t="n">
        <v>7</v>
      </c>
      <c r="G249" s="14" t="n">
        <v>2</v>
      </c>
      <c r="H249" s="14" t="n">
        <f aca="false">F249/G249</f>
        <v>3.5</v>
      </c>
      <c r="I249" s="14" t="n">
        <v>11.1</v>
      </c>
      <c r="J249" s="14" t="n">
        <v>3.5</v>
      </c>
      <c r="K249" s="14" t="n">
        <v>47.5</v>
      </c>
    </row>
    <row r="250" customFormat="false" ht="15" hidden="false" customHeight="true" outlineLevel="0" collapsed="false">
      <c r="A250" s="13" t="s">
        <v>767</v>
      </c>
      <c r="B250" s="13" t="s">
        <v>768</v>
      </c>
      <c r="C250" s="13" t="s">
        <v>769</v>
      </c>
      <c r="D250" s="13" t="s">
        <v>178</v>
      </c>
      <c r="E250" s="14" t="s">
        <v>277</v>
      </c>
      <c r="F250" s="14" t="n">
        <v>7</v>
      </c>
      <c r="G250" s="14" t="n">
        <v>2</v>
      </c>
      <c r="H250" s="14" t="n">
        <f aca="false">F250/G250</f>
        <v>3.5</v>
      </c>
      <c r="I250" s="14" t="n">
        <v>26.7</v>
      </c>
      <c r="J250" s="14" t="n">
        <v>2.2</v>
      </c>
      <c r="K250" s="14" t="n">
        <v>47.5</v>
      </c>
    </row>
    <row r="251" customFormat="false" ht="15" hidden="false" customHeight="true" outlineLevel="0" collapsed="false">
      <c r="A251" s="13" t="s">
        <v>770</v>
      </c>
      <c r="B251" s="13" t="s">
        <v>771</v>
      </c>
      <c r="C251" s="13" t="s">
        <v>398</v>
      </c>
      <c r="D251" s="13" t="s">
        <v>178</v>
      </c>
      <c r="E251" s="14" t="s">
        <v>277</v>
      </c>
      <c r="F251" s="14" t="n">
        <v>7</v>
      </c>
      <c r="G251" s="14" t="n">
        <v>2</v>
      </c>
      <c r="H251" s="14" t="n">
        <f aca="false">F251/G251</f>
        <v>3.5</v>
      </c>
      <c r="I251" s="14" t="n">
        <v>35.7</v>
      </c>
      <c r="J251" s="14" t="n">
        <v>2</v>
      </c>
      <c r="K251" s="14" t="n">
        <v>47.5</v>
      </c>
    </row>
    <row r="252" customFormat="false" ht="15" hidden="false" customHeight="true" outlineLevel="0" collapsed="false">
      <c r="A252" s="13" t="s">
        <v>772</v>
      </c>
      <c r="B252" s="13" t="s">
        <v>773</v>
      </c>
      <c r="C252" s="13" t="s">
        <v>390</v>
      </c>
      <c r="D252" s="13" t="s">
        <v>178</v>
      </c>
      <c r="E252" s="14" t="s">
        <v>277</v>
      </c>
      <c r="F252" s="14" t="n">
        <v>7</v>
      </c>
      <c r="G252" s="14" t="n">
        <v>2</v>
      </c>
      <c r="H252" s="14" t="n">
        <f aca="false">F252/G252</f>
        <v>3.5</v>
      </c>
      <c r="I252" s="14" t="n">
        <v>33.3</v>
      </c>
      <c r="J252" s="14" t="n">
        <v>1.4</v>
      </c>
      <c r="K252" s="14" t="n">
        <v>47.5</v>
      </c>
    </row>
    <row r="253" customFormat="false" ht="15" hidden="false" customHeight="true" outlineLevel="0" collapsed="false">
      <c r="A253" s="13" t="s">
        <v>774</v>
      </c>
      <c r="B253" s="13" t="s">
        <v>775</v>
      </c>
      <c r="C253" s="13" t="s">
        <v>776</v>
      </c>
      <c r="D253" s="13" t="s">
        <v>147</v>
      </c>
      <c r="E253" s="14" t="s">
        <v>277</v>
      </c>
      <c r="F253" s="14" t="n">
        <v>7</v>
      </c>
      <c r="G253" s="14" t="n">
        <v>2</v>
      </c>
      <c r="H253" s="14" t="n">
        <f aca="false">F253/G253</f>
        <v>3.5</v>
      </c>
      <c r="I253" s="14" t="n">
        <v>66.7</v>
      </c>
      <c r="J253" s="14" t="n">
        <v>1.3</v>
      </c>
      <c r="K253" s="14" t="n">
        <v>47.5</v>
      </c>
    </row>
    <row r="254" customFormat="false" ht="15" hidden="false" customHeight="true" outlineLevel="0" collapsed="false">
      <c r="A254" s="13" t="s">
        <v>777</v>
      </c>
      <c r="B254" s="13" t="s">
        <v>778</v>
      </c>
      <c r="C254" s="13" t="s">
        <v>779</v>
      </c>
      <c r="D254" s="13" t="s">
        <v>178</v>
      </c>
      <c r="E254" s="14" t="s">
        <v>277</v>
      </c>
      <c r="F254" s="14" t="n">
        <v>7</v>
      </c>
      <c r="G254" s="14" t="n">
        <v>2</v>
      </c>
      <c r="H254" s="14" t="n">
        <f aca="false">F254/G254</f>
        <v>3.5</v>
      </c>
      <c r="I254" s="14" t="n">
        <v>62.5</v>
      </c>
      <c r="J254" s="14" t="n">
        <v>1.3</v>
      </c>
      <c r="K254" s="14" t="n">
        <v>47.5</v>
      </c>
    </row>
    <row r="255" customFormat="false" ht="15" hidden="false" customHeight="true" outlineLevel="0" collapsed="false">
      <c r="A255" s="13" t="s">
        <v>780</v>
      </c>
      <c r="B255" s="13" t="s">
        <v>781</v>
      </c>
      <c r="C255" s="13" t="s">
        <v>731</v>
      </c>
      <c r="D255" s="13" t="s">
        <v>178</v>
      </c>
      <c r="E255" s="14" t="s">
        <v>277</v>
      </c>
      <c r="F255" s="14" t="n">
        <v>7</v>
      </c>
      <c r="G255" s="14" t="n">
        <v>2</v>
      </c>
      <c r="H255" s="14" t="n">
        <f aca="false">F255/G255</f>
        <v>3.5</v>
      </c>
      <c r="I255" s="14" t="n">
        <v>25</v>
      </c>
      <c r="J255" s="14" t="n">
        <v>1.1</v>
      </c>
      <c r="K255" s="14" t="n">
        <v>47.5</v>
      </c>
    </row>
    <row r="256" customFormat="false" ht="15" hidden="false" customHeight="true" outlineLevel="0" collapsed="false">
      <c r="A256" s="13" t="s">
        <v>782</v>
      </c>
      <c r="B256" s="13" t="s">
        <v>783</v>
      </c>
      <c r="C256" s="13" t="s">
        <v>784</v>
      </c>
      <c r="D256" s="13" t="s">
        <v>178</v>
      </c>
      <c r="E256" s="14" t="s">
        <v>277</v>
      </c>
      <c r="F256" s="14" t="n">
        <v>7</v>
      </c>
      <c r="G256" s="14" t="n">
        <v>2</v>
      </c>
      <c r="H256" s="14" t="n">
        <f aca="false">F256/G256</f>
        <v>3.5</v>
      </c>
      <c r="I256" s="14" t="n">
        <v>16.7</v>
      </c>
      <c r="J256" s="14" t="n">
        <v>0.8</v>
      </c>
      <c r="K256" s="14" t="n">
        <v>47.5</v>
      </c>
    </row>
    <row r="257" customFormat="false" ht="15" hidden="false" customHeight="true" outlineLevel="0" collapsed="false">
      <c r="A257" s="13" t="s">
        <v>785</v>
      </c>
      <c r="B257" s="13" t="s">
        <v>786</v>
      </c>
      <c r="C257" s="13" t="s">
        <v>787</v>
      </c>
      <c r="D257" s="13" t="s">
        <v>178</v>
      </c>
      <c r="E257" s="14" t="s">
        <v>277</v>
      </c>
      <c r="F257" s="14" t="n">
        <v>6</v>
      </c>
      <c r="G257" s="14" t="n">
        <v>2</v>
      </c>
      <c r="H257" s="14" t="n">
        <f aca="false">F257/G257</f>
        <v>3</v>
      </c>
      <c r="I257" s="14" t="n">
        <v>47.1</v>
      </c>
      <c r="J257" s="14" t="n">
        <v>23.3</v>
      </c>
      <c r="K257" s="14" t="n">
        <v>47.5</v>
      </c>
    </row>
    <row r="258" customFormat="false" ht="15" hidden="false" customHeight="true" outlineLevel="0" collapsed="false">
      <c r="A258" s="13" t="s">
        <v>788</v>
      </c>
      <c r="B258" s="13" t="s">
        <v>789</v>
      </c>
      <c r="C258" s="13" t="s">
        <v>790</v>
      </c>
      <c r="D258" s="13" t="s">
        <v>178</v>
      </c>
      <c r="E258" s="14" t="s">
        <v>277</v>
      </c>
      <c r="F258" s="14" t="n">
        <v>6</v>
      </c>
      <c r="G258" s="14" t="n">
        <v>2</v>
      </c>
      <c r="H258" s="14" t="n">
        <f aca="false">F258/G258</f>
        <v>3</v>
      </c>
      <c r="I258" s="14" t="n">
        <v>9.8</v>
      </c>
      <c r="J258" s="14" t="n">
        <v>22.2</v>
      </c>
      <c r="K258" s="14" t="n">
        <v>47.5</v>
      </c>
    </row>
    <row r="259" customFormat="false" ht="15" hidden="false" customHeight="true" outlineLevel="0" collapsed="false">
      <c r="A259" s="13" t="s">
        <v>791</v>
      </c>
      <c r="B259" s="13" t="s">
        <v>792</v>
      </c>
      <c r="C259" s="13" t="s">
        <v>793</v>
      </c>
      <c r="D259" s="13" t="s">
        <v>178</v>
      </c>
      <c r="E259" s="14" t="s">
        <v>277</v>
      </c>
      <c r="F259" s="14" t="n">
        <v>6</v>
      </c>
      <c r="G259" s="14" t="n">
        <v>2</v>
      </c>
      <c r="H259" s="14" t="n">
        <f aca="false">F259/G259</f>
        <v>3</v>
      </c>
      <c r="I259" s="14" t="n">
        <v>50</v>
      </c>
      <c r="J259" s="14" t="n">
        <v>3.2</v>
      </c>
      <c r="K259" s="14" t="n">
        <v>47.5</v>
      </c>
    </row>
    <row r="260" customFormat="false" ht="15" hidden="false" customHeight="true" outlineLevel="0" collapsed="false">
      <c r="A260" s="13" t="s">
        <v>794</v>
      </c>
      <c r="B260" s="13" t="s">
        <v>795</v>
      </c>
      <c r="C260" s="13" t="s">
        <v>539</v>
      </c>
      <c r="D260" s="13" t="s">
        <v>178</v>
      </c>
      <c r="E260" s="14" t="s">
        <v>277</v>
      </c>
      <c r="F260" s="14" t="n">
        <v>6</v>
      </c>
      <c r="G260" s="14" t="n">
        <v>2</v>
      </c>
      <c r="H260" s="14" t="n">
        <f aca="false">F260/G260</f>
        <v>3</v>
      </c>
      <c r="I260" s="14" t="n">
        <v>31.6</v>
      </c>
      <c r="J260" s="14" t="n">
        <v>2.4</v>
      </c>
      <c r="K260" s="14" t="n">
        <v>47.5</v>
      </c>
    </row>
    <row r="261" customFormat="false" ht="15" hidden="false" customHeight="true" outlineLevel="0" collapsed="false">
      <c r="A261" s="13" t="s">
        <v>796</v>
      </c>
      <c r="B261" s="13" t="s">
        <v>797</v>
      </c>
      <c r="C261" s="13" t="s">
        <v>480</v>
      </c>
      <c r="D261" s="13" t="s">
        <v>178</v>
      </c>
      <c r="E261" s="14" t="s">
        <v>277</v>
      </c>
      <c r="F261" s="14" t="n">
        <v>6</v>
      </c>
      <c r="G261" s="14" t="n">
        <v>2</v>
      </c>
      <c r="H261" s="14" t="n">
        <f aca="false">F261/G261</f>
        <v>3</v>
      </c>
      <c r="I261" s="14" t="n">
        <v>27.8</v>
      </c>
      <c r="J261" s="14" t="n">
        <v>3</v>
      </c>
      <c r="K261" s="14" t="n">
        <v>47.5</v>
      </c>
    </row>
    <row r="262" customFormat="false" ht="15" hidden="false" customHeight="true" outlineLevel="0" collapsed="false">
      <c r="A262" s="13" t="s">
        <v>798</v>
      </c>
      <c r="B262" s="13" t="s">
        <v>799</v>
      </c>
      <c r="C262" s="13" t="s">
        <v>800</v>
      </c>
      <c r="D262" s="13" t="s">
        <v>178</v>
      </c>
      <c r="E262" s="14" t="s">
        <v>277</v>
      </c>
      <c r="F262" s="14" t="n">
        <v>6</v>
      </c>
      <c r="G262" s="14" t="n">
        <v>2</v>
      </c>
      <c r="H262" s="14" t="n">
        <f aca="false">F262/G262</f>
        <v>3</v>
      </c>
      <c r="I262" s="14" t="n">
        <v>41.2</v>
      </c>
      <c r="J262" s="14" t="n">
        <v>3</v>
      </c>
      <c r="K262" s="14" t="n">
        <v>47.5</v>
      </c>
    </row>
    <row r="263" customFormat="false" ht="15" hidden="false" customHeight="true" outlineLevel="0" collapsed="false">
      <c r="A263" s="13" t="s">
        <v>801</v>
      </c>
      <c r="B263" s="13" t="s">
        <v>802</v>
      </c>
      <c r="C263" s="13" t="s">
        <v>803</v>
      </c>
      <c r="D263" s="13" t="s">
        <v>178</v>
      </c>
      <c r="E263" s="14" t="s">
        <v>277</v>
      </c>
      <c r="F263" s="14" t="n">
        <v>6</v>
      </c>
      <c r="G263" s="14" t="n">
        <v>2</v>
      </c>
      <c r="H263" s="14" t="n">
        <f aca="false">F263/G263</f>
        <v>3</v>
      </c>
      <c r="I263" s="14" t="n">
        <v>50</v>
      </c>
      <c r="J263" s="14" t="n">
        <v>2.7</v>
      </c>
      <c r="K263" s="14" t="n">
        <v>47.5</v>
      </c>
    </row>
    <row r="264" customFormat="false" ht="15" hidden="false" customHeight="true" outlineLevel="0" collapsed="false">
      <c r="A264" s="13" t="s">
        <v>804</v>
      </c>
      <c r="B264" s="13" t="s">
        <v>805</v>
      </c>
      <c r="C264" s="13" t="s">
        <v>806</v>
      </c>
      <c r="D264" s="13" t="s">
        <v>147</v>
      </c>
      <c r="E264" s="14" t="s">
        <v>277</v>
      </c>
      <c r="F264" s="14" t="n">
        <v>6</v>
      </c>
      <c r="G264" s="14" t="n">
        <v>2</v>
      </c>
      <c r="H264" s="14" t="n">
        <f aca="false">F264/G264</f>
        <v>3</v>
      </c>
      <c r="I264" s="14" t="n">
        <v>60</v>
      </c>
      <c r="J264" s="14" t="n">
        <v>2.5</v>
      </c>
      <c r="K264" s="14" t="n">
        <v>47.5</v>
      </c>
    </row>
    <row r="265" customFormat="false" ht="15" hidden="false" customHeight="true" outlineLevel="0" collapsed="false">
      <c r="A265" s="13" t="s">
        <v>807</v>
      </c>
      <c r="B265" s="13" t="s">
        <v>808</v>
      </c>
      <c r="C265" s="13" t="s">
        <v>809</v>
      </c>
      <c r="D265" s="13" t="s">
        <v>147</v>
      </c>
      <c r="E265" s="14" t="s">
        <v>277</v>
      </c>
      <c r="F265" s="14" t="n">
        <v>6</v>
      </c>
      <c r="G265" s="14" t="n">
        <v>2</v>
      </c>
      <c r="H265" s="14" t="n">
        <f aca="false">F265/G265</f>
        <v>3</v>
      </c>
      <c r="I265" s="14" t="n">
        <v>0</v>
      </c>
      <c r="J265" s="14" t="n">
        <v>1.8</v>
      </c>
      <c r="K265" s="14" t="n">
        <v>47.5</v>
      </c>
    </row>
    <row r="266" customFormat="false" ht="15" hidden="false" customHeight="true" outlineLevel="0" collapsed="false">
      <c r="A266" s="13" t="s">
        <v>810</v>
      </c>
      <c r="B266" s="13" t="s">
        <v>811</v>
      </c>
      <c r="C266" s="13" t="s">
        <v>812</v>
      </c>
      <c r="D266" s="13" t="s">
        <v>147</v>
      </c>
      <c r="E266" s="14" t="s">
        <v>277</v>
      </c>
      <c r="F266" s="14" t="n">
        <v>6</v>
      </c>
      <c r="G266" s="14" t="n">
        <v>2</v>
      </c>
      <c r="H266" s="14" t="n">
        <f aca="false">F266/G266</f>
        <v>3</v>
      </c>
      <c r="I266" s="14" t="n">
        <v>66.7</v>
      </c>
      <c r="J266" s="14" t="n">
        <v>1.3</v>
      </c>
      <c r="K266" s="14" t="n">
        <v>47.5</v>
      </c>
    </row>
    <row r="267" customFormat="false" ht="15" hidden="false" customHeight="true" outlineLevel="0" collapsed="false">
      <c r="A267" s="13" t="s">
        <v>813</v>
      </c>
      <c r="B267" s="13" t="s">
        <v>814</v>
      </c>
      <c r="C267" s="13" t="s">
        <v>815</v>
      </c>
      <c r="D267" s="13" t="s">
        <v>178</v>
      </c>
      <c r="E267" s="14" t="s">
        <v>277</v>
      </c>
      <c r="F267" s="14" t="n">
        <v>6</v>
      </c>
      <c r="G267" s="14" t="n">
        <v>2</v>
      </c>
      <c r="H267" s="14" t="n">
        <f aca="false">F267/G267</f>
        <v>3</v>
      </c>
      <c r="I267" s="14" t="n">
        <v>55.6</v>
      </c>
      <c r="J267" s="14" t="n">
        <v>1.5</v>
      </c>
      <c r="K267" s="14" t="n">
        <v>47.5</v>
      </c>
    </row>
    <row r="268" customFormat="false" ht="15" hidden="false" customHeight="true" outlineLevel="0" collapsed="false">
      <c r="A268" s="13" t="s">
        <v>816</v>
      </c>
      <c r="B268" s="13" t="s">
        <v>817</v>
      </c>
      <c r="C268" s="13" t="s">
        <v>818</v>
      </c>
      <c r="D268" s="13" t="s">
        <v>178</v>
      </c>
      <c r="E268" s="14" t="s">
        <v>277</v>
      </c>
      <c r="F268" s="14" t="n">
        <v>6</v>
      </c>
      <c r="G268" s="14" t="n">
        <v>2</v>
      </c>
      <c r="H268" s="14" t="n">
        <f aca="false">F268/G268</f>
        <v>3</v>
      </c>
      <c r="I268" s="14" t="n">
        <v>12.5</v>
      </c>
      <c r="J268" s="14" t="n">
        <v>1.3</v>
      </c>
      <c r="K268" s="14" t="n">
        <v>47.5</v>
      </c>
    </row>
    <row r="269" customFormat="false" ht="15" hidden="false" customHeight="true" outlineLevel="0" collapsed="false">
      <c r="A269" s="13" t="s">
        <v>819</v>
      </c>
      <c r="B269" s="13" t="s">
        <v>820</v>
      </c>
      <c r="C269" s="13" t="s">
        <v>390</v>
      </c>
      <c r="D269" s="13" t="s">
        <v>178</v>
      </c>
      <c r="E269" s="14" t="s">
        <v>277</v>
      </c>
      <c r="F269" s="14" t="n">
        <v>6</v>
      </c>
      <c r="G269" s="14" t="n">
        <v>2</v>
      </c>
      <c r="H269" s="14" t="n">
        <f aca="false">F269/G269</f>
        <v>3</v>
      </c>
      <c r="I269" s="14" t="n">
        <v>42.9</v>
      </c>
      <c r="J269" s="14" t="n">
        <v>1.2</v>
      </c>
      <c r="K269" s="14" t="n">
        <v>47.5</v>
      </c>
    </row>
    <row r="270" customFormat="false" ht="15" hidden="false" customHeight="true" outlineLevel="0" collapsed="false">
      <c r="A270" s="13" t="s">
        <v>821</v>
      </c>
      <c r="B270" s="13" t="s">
        <v>822</v>
      </c>
      <c r="C270" s="13" t="s">
        <v>823</v>
      </c>
      <c r="D270" s="13" t="s">
        <v>147</v>
      </c>
      <c r="E270" s="14" t="s">
        <v>277</v>
      </c>
      <c r="F270" s="14" t="n">
        <v>6</v>
      </c>
      <c r="G270" s="14" t="n">
        <v>2</v>
      </c>
      <c r="H270" s="14" t="n">
        <f aca="false">F270/G270</f>
        <v>3</v>
      </c>
      <c r="I270" s="14" t="n">
        <v>85.7</v>
      </c>
      <c r="J270" s="14" t="n">
        <v>1.2</v>
      </c>
      <c r="K270" s="14" t="n">
        <v>47.5</v>
      </c>
    </row>
    <row r="271" customFormat="false" ht="15" hidden="false" customHeight="true" outlineLevel="0" collapsed="false">
      <c r="A271" s="13" t="s">
        <v>824</v>
      </c>
      <c r="B271" s="13" t="s">
        <v>825</v>
      </c>
      <c r="C271" s="13" t="s">
        <v>826</v>
      </c>
      <c r="D271" s="13" t="s">
        <v>147</v>
      </c>
      <c r="E271" s="14" t="s">
        <v>277</v>
      </c>
      <c r="F271" s="14" t="n">
        <v>6</v>
      </c>
      <c r="G271" s="14" t="n">
        <v>2</v>
      </c>
      <c r="H271" s="14" t="n">
        <f aca="false">F271/G271</f>
        <v>3</v>
      </c>
      <c r="I271" s="14" t="n">
        <v>66.7</v>
      </c>
      <c r="J271" s="14" t="n">
        <v>1.1</v>
      </c>
      <c r="K271" s="14" t="n">
        <v>47.5</v>
      </c>
    </row>
    <row r="272" customFormat="false" ht="15" hidden="false" customHeight="true" outlineLevel="0" collapsed="false">
      <c r="A272" s="13" t="s">
        <v>827</v>
      </c>
      <c r="B272" s="13" t="s">
        <v>828</v>
      </c>
      <c r="C272" s="13" t="s">
        <v>829</v>
      </c>
      <c r="D272" s="13" t="s">
        <v>147</v>
      </c>
      <c r="E272" s="14" t="s">
        <v>277</v>
      </c>
      <c r="F272" s="14" t="n">
        <v>6</v>
      </c>
      <c r="G272" s="14" t="n">
        <v>2</v>
      </c>
      <c r="H272" s="14" t="n">
        <f aca="false">F272/G272</f>
        <v>3</v>
      </c>
      <c r="I272" s="14" t="n">
        <v>16.7</v>
      </c>
      <c r="J272" s="14" t="n">
        <v>1</v>
      </c>
      <c r="K272" s="14" t="n">
        <v>47.5</v>
      </c>
    </row>
    <row r="273" customFormat="false" ht="15" hidden="false" customHeight="true" outlineLevel="0" collapsed="false">
      <c r="A273" s="13" t="s">
        <v>830</v>
      </c>
      <c r="B273" s="13" t="s">
        <v>831</v>
      </c>
      <c r="C273" s="13" t="s">
        <v>832</v>
      </c>
      <c r="D273" s="13" t="s">
        <v>147</v>
      </c>
      <c r="E273" s="14" t="s">
        <v>277</v>
      </c>
      <c r="F273" s="14" t="n">
        <v>6</v>
      </c>
      <c r="G273" s="14" t="n">
        <v>2</v>
      </c>
      <c r="H273" s="14" t="n">
        <f aca="false">F273/G273</f>
        <v>3</v>
      </c>
      <c r="I273" s="14" t="n">
        <v>40</v>
      </c>
      <c r="J273" s="14" t="n">
        <v>0.9</v>
      </c>
      <c r="K273" s="14" t="n">
        <v>47.5</v>
      </c>
    </row>
    <row r="274" customFormat="false" ht="15" hidden="false" customHeight="true" outlineLevel="0" collapsed="false">
      <c r="A274" s="13" t="s">
        <v>833</v>
      </c>
      <c r="B274" s="13" t="s">
        <v>834</v>
      </c>
      <c r="C274" s="13" t="s">
        <v>835</v>
      </c>
      <c r="D274" s="13" t="s">
        <v>147</v>
      </c>
      <c r="E274" s="14" t="s">
        <v>277</v>
      </c>
      <c r="F274" s="14" t="n">
        <v>5</v>
      </c>
      <c r="G274" s="14" t="n">
        <v>2</v>
      </c>
      <c r="H274" s="14" t="n">
        <f aca="false">F274/G274</f>
        <v>2.5</v>
      </c>
      <c r="I274" s="14" t="n">
        <v>64.7</v>
      </c>
      <c r="J274" s="14" t="n">
        <v>10.2</v>
      </c>
      <c r="K274" s="14" t="n">
        <v>47.5</v>
      </c>
    </row>
    <row r="275" customFormat="false" ht="15" hidden="false" customHeight="true" outlineLevel="0" collapsed="false">
      <c r="A275" s="13" t="s">
        <v>836</v>
      </c>
      <c r="B275" s="13" t="s">
        <v>837</v>
      </c>
      <c r="C275" s="13" t="s">
        <v>838</v>
      </c>
      <c r="D275" s="13" t="s">
        <v>178</v>
      </c>
      <c r="E275" s="14" t="s">
        <v>277</v>
      </c>
      <c r="F275" s="14" t="n">
        <v>5</v>
      </c>
      <c r="G275" s="14" t="n">
        <v>2</v>
      </c>
      <c r="H275" s="14" t="n">
        <f aca="false">F275/G275</f>
        <v>2.5</v>
      </c>
      <c r="I275" s="14" t="n">
        <v>13.2</v>
      </c>
      <c r="J275" s="14" t="n">
        <v>7.6</v>
      </c>
      <c r="K275" s="14" t="n">
        <v>47.5</v>
      </c>
    </row>
    <row r="276" customFormat="false" ht="15" hidden="false" customHeight="true" outlineLevel="0" collapsed="false">
      <c r="A276" s="13" t="s">
        <v>839</v>
      </c>
      <c r="B276" s="13" t="s">
        <v>840</v>
      </c>
      <c r="C276" s="13" t="s">
        <v>719</v>
      </c>
      <c r="D276" s="13" t="s">
        <v>178</v>
      </c>
      <c r="E276" s="14" t="s">
        <v>277</v>
      </c>
      <c r="F276" s="14" t="n">
        <v>5</v>
      </c>
      <c r="G276" s="14" t="n">
        <v>2</v>
      </c>
      <c r="H276" s="14" t="n">
        <f aca="false">F276/G276</f>
        <v>2.5</v>
      </c>
      <c r="I276" s="14" t="n">
        <v>18.9</v>
      </c>
      <c r="J276" s="14" t="n">
        <v>7.5</v>
      </c>
      <c r="K276" s="14" t="n">
        <v>47.5</v>
      </c>
    </row>
    <row r="277" customFormat="false" ht="15" hidden="false" customHeight="true" outlineLevel="0" collapsed="false">
      <c r="A277" s="13" t="s">
        <v>841</v>
      </c>
      <c r="B277" s="13" t="s">
        <v>842</v>
      </c>
      <c r="C277" s="13" t="s">
        <v>843</v>
      </c>
      <c r="D277" s="13" t="s">
        <v>178</v>
      </c>
      <c r="E277" s="14" t="s">
        <v>277</v>
      </c>
      <c r="F277" s="14" t="n">
        <v>5</v>
      </c>
      <c r="G277" s="14" t="n">
        <v>2</v>
      </c>
      <c r="H277" s="14" t="n">
        <f aca="false">F277/G277</f>
        <v>2.5</v>
      </c>
      <c r="I277" s="14" t="n">
        <v>43.5</v>
      </c>
      <c r="J277" s="14" t="n">
        <v>4.6</v>
      </c>
      <c r="K277" s="14" t="n">
        <v>47.5</v>
      </c>
    </row>
    <row r="278" customFormat="false" ht="15" hidden="false" customHeight="true" outlineLevel="0" collapsed="false">
      <c r="A278" s="13" t="s">
        <v>844</v>
      </c>
      <c r="B278" s="13" t="s">
        <v>845</v>
      </c>
      <c r="C278" s="13" t="s">
        <v>681</v>
      </c>
      <c r="D278" s="13" t="s">
        <v>147</v>
      </c>
      <c r="E278" s="14" t="s">
        <v>277</v>
      </c>
      <c r="F278" s="14" t="n">
        <v>5</v>
      </c>
      <c r="G278" s="14" t="n">
        <v>2</v>
      </c>
      <c r="H278" s="14" t="n">
        <f aca="false">F278/G278</f>
        <v>2.5</v>
      </c>
      <c r="I278" s="14" t="n">
        <v>9.5</v>
      </c>
      <c r="J278" s="14" t="n">
        <v>4.2</v>
      </c>
      <c r="K278" s="14" t="n">
        <v>47.5</v>
      </c>
    </row>
    <row r="279" customFormat="false" ht="15" hidden="false" customHeight="true" outlineLevel="0" collapsed="false">
      <c r="A279" s="13" t="s">
        <v>846</v>
      </c>
      <c r="B279" s="13" t="s">
        <v>847</v>
      </c>
      <c r="C279" s="13" t="s">
        <v>848</v>
      </c>
      <c r="D279" s="13" t="s">
        <v>178</v>
      </c>
      <c r="E279" s="14" t="s">
        <v>277</v>
      </c>
      <c r="F279" s="14" t="n">
        <v>5</v>
      </c>
      <c r="G279" s="14" t="n">
        <v>2</v>
      </c>
      <c r="H279" s="14" t="n">
        <f aca="false">F279/G279</f>
        <v>2.5</v>
      </c>
      <c r="I279" s="14" t="n">
        <v>11.8</v>
      </c>
      <c r="J279" s="14" t="n">
        <v>2.9</v>
      </c>
      <c r="K279" s="14" t="n">
        <v>47.5</v>
      </c>
    </row>
    <row r="280" customFormat="false" ht="15" hidden="false" customHeight="true" outlineLevel="0" collapsed="false">
      <c r="A280" s="13" t="s">
        <v>849</v>
      </c>
      <c r="B280" s="13" t="s">
        <v>850</v>
      </c>
      <c r="C280" s="13" t="s">
        <v>823</v>
      </c>
      <c r="D280" s="13" t="s">
        <v>147</v>
      </c>
      <c r="E280" s="14" t="s">
        <v>277</v>
      </c>
      <c r="F280" s="14" t="n">
        <v>5</v>
      </c>
      <c r="G280" s="14" t="n">
        <v>2</v>
      </c>
      <c r="H280" s="14" t="n">
        <f aca="false">F280/G280</f>
        <v>2.5</v>
      </c>
      <c r="I280" s="14" t="n">
        <v>85.7</v>
      </c>
      <c r="J280" s="14" t="n">
        <v>2.8</v>
      </c>
      <c r="K280" s="14" t="n">
        <v>47.5</v>
      </c>
    </row>
    <row r="281" customFormat="false" ht="15" hidden="false" customHeight="true" outlineLevel="0" collapsed="false">
      <c r="A281" s="13" t="s">
        <v>851</v>
      </c>
      <c r="B281" s="13" t="s">
        <v>852</v>
      </c>
      <c r="C281" s="13" t="s">
        <v>853</v>
      </c>
      <c r="D281" s="13" t="s">
        <v>178</v>
      </c>
      <c r="E281" s="14" t="s">
        <v>277</v>
      </c>
      <c r="F281" s="14" t="n">
        <v>5</v>
      </c>
      <c r="G281" s="14" t="n">
        <v>2</v>
      </c>
      <c r="H281" s="14" t="n">
        <f aca="false">F281/G281</f>
        <v>2.5</v>
      </c>
      <c r="I281" s="14" t="n">
        <v>38.5</v>
      </c>
      <c r="J281" s="14" t="n">
        <v>2.8</v>
      </c>
      <c r="K281" s="14" t="n">
        <v>47.5</v>
      </c>
    </row>
    <row r="282" customFormat="false" ht="15" hidden="false" customHeight="true" outlineLevel="0" collapsed="false">
      <c r="A282" s="13" t="s">
        <v>854</v>
      </c>
      <c r="B282" s="13" t="s">
        <v>855</v>
      </c>
      <c r="C282" s="13" t="s">
        <v>856</v>
      </c>
      <c r="D282" s="13" t="s">
        <v>178</v>
      </c>
      <c r="E282" s="14" t="s">
        <v>277</v>
      </c>
      <c r="F282" s="14" t="n">
        <v>5</v>
      </c>
      <c r="G282" s="14" t="n">
        <v>2</v>
      </c>
      <c r="H282" s="14" t="n">
        <f aca="false">F282/G282</f>
        <v>2.5</v>
      </c>
      <c r="I282" s="14" t="n">
        <v>63.6</v>
      </c>
      <c r="J282" s="14" t="n">
        <v>2.2</v>
      </c>
      <c r="K282" s="14" t="n">
        <v>47.5</v>
      </c>
    </row>
    <row r="283" customFormat="false" ht="15" hidden="false" customHeight="true" outlineLevel="0" collapsed="false">
      <c r="A283" s="13" t="s">
        <v>857</v>
      </c>
      <c r="B283" s="13" t="s">
        <v>858</v>
      </c>
      <c r="C283" s="13" t="s">
        <v>859</v>
      </c>
      <c r="D283" s="13" t="s">
        <v>178</v>
      </c>
      <c r="E283" s="14" t="s">
        <v>277</v>
      </c>
      <c r="F283" s="14" t="n">
        <v>5</v>
      </c>
      <c r="G283" s="14" t="n">
        <v>2</v>
      </c>
      <c r="H283" s="14" t="n">
        <f aca="false">F283/G283</f>
        <v>2.5</v>
      </c>
      <c r="I283" s="14" t="n">
        <v>10</v>
      </c>
      <c r="J283" s="14" t="n">
        <v>2.1</v>
      </c>
      <c r="K283" s="14" t="n">
        <v>47.5</v>
      </c>
    </row>
    <row r="284" customFormat="false" ht="15" hidden="false" customHeight="true" outlineLevel="0" collapsed="false">
      <c r="A284" s="13" t="s">
        <v>860</v>
      </c>
      <c r="B284" s="13" t="s">
        <v>861</v>
      </c>
      <c r="C284" s="13" t="s">
        <v>862</v>
      </c>
      <c r="D284" s="13" t="s">
        <v>178</v>
      </c>
      <c r="E284" s="14" t="s">
        <v>277</v>
      </c>
      <c r="F284" s="14" t="n">
        <v>5</v>
      </c>
      <c r="G284" s="14" t="n">
        <v>2</v>
      </c>
      <c r="H284" s="14" t="n">
        <f aca="false">F284/G284</f>
        <v>2.5</v>
      </c>
      <c r="I284" s="14" t="n">
        <v>12.5</v>
      </c>
      <c r="J284" s="14" t="n">
        <v>1.4</v>
      </c>
      <c r="K284" s="14" t="n">
        <v>47.5</v>
      </c>
    </row>
    <row r="285" customFormat="false" ht="15" hidden="false" customHeight="true" outlineLevel="0" collapsed="false">
      <c r="A285" s="13" t="s">
        <v>863</v>
      </c>
      <c r="B285" s="13" t="s">
        <v>864</v>
      </c>
      <c r="C285" s="13" t="s">
        <v>865</v>
      </c>
      <c r="D285" s="13" t="s">
        <v>147</v>
      </c>
      <c r="E285" s="14" t="s">
        <v>277</v>
      </c>
      <c r="F285" s="14" t="n">
        <v>5</v>
      </c>
      <c r="G285" s="14" t="n">
        <v>2</v>
      </c>
      <c r="H285" s="14" t="n">
        <f aca="false">F285/G285</f>
        <v>2.5</v>
      </c>
      <c r="I285" s="14" t="n">
        <v>42.9</v>
      </c>
      <c r="J285" s="14" t="n">
        <v>1.5</v>
      </c>
      <c r="K285" s="14" t="n">
        <v>47.5</v>
      </c>
    </row>
    <row r="286" customFormat="false" ht="15" hidden="false" customHeight="true" outlineLevel="0" collapsed="false">
      <c r="A286" s="13" t="s">
        <v>866</v>
      </c>
      <c r="B286" s="13" t="s">
        <v>867</v>
      </c>
      <c r="C286" s="13" t="s">
        <v>868</v>
      </c>
      <c r="D286" s="13" t="s">
        <v>178</v>
      </c>
      <c r="E286" s="14" t="s">
        <v>277</v>
      </c>
      <c r="F286" s="14" t="n">
        <v>5</v>
      </c>
      <c r="G286" s="14" t="n">
        <v>2</v>
      </c>
      <c r="H286" s="14" t="n">
        <f aca="false">F286/G286</f>
        <v>2.5</v>
      </c>
      <c r="I286" s="14" t="n">
        <v>57.1</v>
      </c>
      <c r="J286" s="14" t="n">
        <v>1.4</v>
      </c>
      <c r="K286" s="14" t="n">
        <v>47.5</v>
      </c>
    </row>
    <row r="287" customFormat="false" ht="15" hidden="false" customHeight="true" outlineLevel="0" collapsed="false">
      <c r="A287" s="13" t="s">
        <v>869</v>
      </c>
      <c r="B287" s="13" t="s">
        <v>870</v>
      </c>
      <c r="C287" s="13" t="s">
        <v>871</v>
      </c>
      <c r="D287" s="13" t="s">
        <v>178</v>
      </c>
      <c r="E287" s="14" t="s">
        <v>277</v>
      </c>
      <c r="F287" s="14" t="n">
        <v>5</v>
      </c>
      <c r="G287" s="14" t="n">
        <v>2</v>
      </c>
      <c r="H287" s="14" t="n">
        <f aca="false">F287/G287</f>
        <v>2.5</v>
      </c>
      <c r="I287" s="14" t="n">
        <v>50</v>
      </c>
      <c r="J287" s="14" t="n">
        <v>1.3</v>
      </c>
      <c r="K287" s="14" t="n">
        <v>47.5</v>
      </c>
    </row>
    <row r="288" customFormat="false" ht="15" hidden="false" customHeight="true" outlineLevel="0" collapsed="false">
      <c r="A288" s="13" t="s">
        <v>872</v>
      </c>
      <c r="B288" s="13" t="s">
        <v>873</v>
      </c>
      <c r="C288" s="13" t="s">
        <v>874</v>
      </c>
      <c r="D288" s="13" t="s">
        <v>147</v>
      </c>
      <c r="E288" s="14" t="s">
        <v>277</v>
      </c>
      <c r="F288" s="14" t="n">
        <v>5</v>
      </c>
      <c r="G288" s="14" t="n">
        <v>2</v>
      </c>
      <c r="H288" s="14" t="n">
        <f aca="false">F288/G288</f>
        <v>2.5</v>
      </c>
      <c r="I288" s="14" t="n">
        <v>20</v>
      </c>
      <c r="J288" s="14" t="n">
        <v>1.1</v>
      </c>
      <c r="K288" s="14" t="n">
        <v>47.5</v>
      </c>
    </row>
    <row r="289" customFormat="false" ht="15" hidden="false" customHeight="true" outlineLevel="0" collapsed="false">
      <c r="A289" s="13" t="s">
        <v>875</v>
      </c>
      <c r="B289" s="13" t="s">
        <v>876</v>
      </c>
      <c r="C289" s="13" t="s">
        <v>877</v>
      </c>
      <c r="D289" s="13" t="s">
        <v>178</v>
      </c>
      <c r="E289" s="14" t="s">
        <v>277</v>
      </c>
      <c r="F289" s="14" t="n">
        <v>5</v>
      </c>
      <c r="G289" s="14" t="n">
        <v>2</v>
      </c>
      <c r="H289" s="14" t="n">
        <f aca="false">F289/G289</f>
        <v>2.5</v>
      </c>
      <c r="I289" s="14" t="n">
        <v>25</v>
      </c>
      <c r="J289" s="14" t="n">
        <v>0.9</v>
      </c>
      <c r="K289" s="14" t="n">
        <v>47.5</v>
      </c>
    </row>
    <row r="290" customFormat="false" ht="15" hidden="false" customHeight="true" outlineLevel="0" collapsed="false">
      <c r="A290" s="13" t="s">
        <v>878</v>
      </c>
      <c r="B290" s="13" t="s">
        <v>879</v>
      </c>
      <c r="C290" s="13" t="s">
        <v>880</v>
      </c>
      <c r="D290" s="13" t="s">
        <v>178</v>
      </c>
      <c r="E290" s="14" t="s">
        <v>277</v>
      </c>
      <c r="F290" s="14" t="n">
        <v>5</v>
      </c>
      <c r="G290" s="14" t="n">
        <v>2</v>
      </c>
      <c r="H290" s="14" t="n">
        <f aca="false">F290/G290</f>
        <v>2.5</v>
      </c>
      <c r="I290" s="14" t="n">
        <v>0</v>
      </c>
      <c r="J290" s="14" t="n">
        <v>0.9</v>
      </c>
      <c r="K290" s="14" t="n">
        <v>47.5</v>
      </c>
    </row>
    <row r="291" customFormat="false" ht="15" hidden="false" customHeight="true" outlineLevel="0" collapsed="false">
      <c r="A291" s="13" t="s">
        <v>881</v>
      </c>
      <c r="B291" s="13" t="s">
        <v>882</v>
      </c>
      <c r="C291" s="13" t="s">
        <v>883</v>
      </c>
      <c r="D291" s="13" t="s">
        <v>147</v>
      </c>
      <c r="E291" s="14" t="s">
        <v>277</v>
      </c>
      <c r="F291" s="14" t="n">
        <v>5</v>
      </c>
      <c r="G291" s="14" t="n">
        <v>2</v>
      </c>
      <c r="H291" s="14" t="n">
        <f aca="false">F291/G291</f>
        <v>2.5</v>
      </c>
      <c r="I291" s="14" t="n">
        <v>50</v>
      </c>
      <c r="J291" s="14" t="n">
        <v>0.6</v>
      </c>
      <c r="K291" s="14" t="n">
        <v>47.5</v>
      </c>
    </row>
    <row r="292" customFormat="false" ht="15" hidden="false" customHeight="true" outlineLevel="0" collapsed="false">
      <c r="A292" s="13" t="s">
        <v>884</v>
      </c>
      <c r="B292" s="13" t="s">
        <v>885</v>
      </c>
      <c r="C292" s="13" t="s">
        <v>886</v>
      </c>
      <c r="D292" s="13" t="s">
        <v>147</v>
      </c>
      <c r="E292" s="14" t="s">
        <v>277</v>
      </c>
      <c r="F292" s="14" t="n">
        <v>5</v>
      </c>
      <c r="G292" s="14" t="n">
        <v>2</v>
      </c>
      <c r="H292" s="14" t="n">
        <f aca="false">F292/G292</f>
        <v>2.5</v>
      </c>
      <c r="I292" s="14"/>
      <c r="J292" s="14" t="n">
        <v>0.2</v>
      </c>
      <c r="K292" s="14" t="n">
        <v>47.5</v>
      </c>
    </row>
    <row r="293" customFormat="false" ht="15" hidden="false" customHeight="true" outlineLevel="0" collapsed="false">
      <c r="A293" s="13" t="s">
        <v>887</v>
      </c>
      <c r="B293" s="13" t="s">
        <v>888</v>
      </c>
      <c r="C293" s="13" t="s">
        <v>228</v>
      </c>
      <c r="D293" s="13" t="s">
        <v>77</v>
      </c>
      <c r="E293" s="14" t="s">
        <v>277</v>
      </c>
      <c r="F293" s="14" t="n">
        <v>4</v>
      </c>
      <c r="G293" s="14" t="n">
        <v>2</v>
      </c>
      <c r="H293" s="14" t="n">
        <f aca="false">F293/G293</f>
        <v>2</v>
      </c>
      <c r="I293" s="14" t="n">
        <v>52.2</v>
      </c>
      <c r="J293" s="14" t="n">
        <v>22.5</v>
      </c>
      <c r="K293" s="14" t="n">
        <v>47.5</v>
      </c>
    </row>
    <row r="294" customFormat="false" ht="15" hidden="false" customHeight="true" outlineLevel="0" collapsed="false">
      <c r="A294" s="13" t="s">
        <v>889</v>
      </c>
      <c r="B294" s="13" t="s">
        <v>890</v>
      </c>
      <c r="C294" s="13" t="s">
        <v>548</v>
      </c>
      <c r="D294" s="13" t="s">
        <v>147</v>
      </c>
      <c r="E294" s="14" t="s">
        <v>277</v>
      </c>
      <c r="F294" s="14" t="n">
        <v>4</v>
      </c>
      <c r="G294" s="14" t="n">
        <v>2</v>
      </c>
      <c r="H294" s="14" t="n">
        <f aca="false">F294/G294</f>
        <v>2</v>
      </c>
      <c r="I294" s="14" t="n">
        <v>20.7</v>
      </c>
      <c r="J294" s="14" t="n">
        <v>20.5</v>
      </c>
      <c r="K294" s="14" t="n">
        <v>47.5</v>
      </c>
    </row>
    <row r="295" customFormat="false" ht="15" hidden="false" customHeight="true" outlineLevel="0" collapsed="false">
      <c r="A295" s="13" t="s">
        <v>891</v>
      </c>
      <c r="B295" s="13" t="s">
        <v>892</v>
      </c>
      <c r="C295" s="13" t="s">
        <v>246</v>
      </c>
      <c r="D295" s="13" t="s">
        <v>77</v>
      </c>
      <c r="E295" s="14" t="s">
        <v>277</v>
      </c>
      <c r="F295" s="14" t="n">
        <v>4</v>
      </c>
      <c r="G295" s="14" t="n">
        <v>2</v>
      </c>
      <c r="H295" s="14" t="n">
        <f aca="false">F295/G295</f>
        <v>2</v>
      </c>
      <c r="I295" s="14" t="n">
        <v>103.4</v>
      </c>
      <c r="J295" s="14" t="n">
        <v>14.5</v>
      </c>
      <c r="K295" s="14" t="n">
        <v>47.5</v>
      </c>
    </row>
    <row r="296" customFormat="false" ht="15" hidden="false" customHeight="true" outlineLevel="0" collapsed="false">
      <c r="A296" s="13" t="s">
        <v>893</v>
      </c>
      <c r="B296" s="13" t="s">
        <v>894</v>
      </c>
      <c r="C296" s="13" t="s">
        <v>815</v>
      </c>
      <c r="D296" s="13" t="s">
        <v>178</v>
      </c>
      <c r="E296" s="14" t="s">
        <v>277</v>
      </c>
      <c r="F296" s="14" t="n">
        <v>4</v>
      </c>
      <c r="G296" s="14" t="n">
        <v>2</v>
      </c>
      <c r="H296" s="14" t="n">
        <f aca="false">F296/G296</f>
        <v>2</v>
      </c>
      <c r="I296" s="14" t="n">
        <v>43.9</v>
      </c>
      <c r="J296" s="14" t="n">
        <v>14.2</v>
      </c>
      <c r="K296" s="14" t="n">
        <v>47.5</v>
      </c>
    </row>
    <row r="297" customFormat="false" ht="15" hidden="false" customHeight="true" outlineLevel="0" collapsed="false">
      <c r="A297" s="13" t="s">
        <v>895</v>
      </c>
      <c r="B297" s="13" t="s">
        <v>896</v>
      </c>
      <c r="C297" s="13" t="s">
        <v>646</v>
      </c>
      <c r="D297" s="13" t="s">
        <v>178</v>
      </c>
      <c r="E297" s="14" t="s">
        <v>277</v>
      </c>
      <c r="F297" s="14" t="n">
        <v>4</v>
      </c>
      <c r="G297" s="14" t="n">
        <v>2</v>
      </c>
      <c r="H297" s="14" t="n">
        <f aca="false">F297/G297</f>
        <v>2</v>
      </c>
      <c r="I297" s="14" t="n">
        <v>14.3</v>
      </c>
      <c r="J297" s="14" t="n">
        <v>14</v>
      </c>
      <c r="K297" s="14" t="n">
        <v>47.5</v>
      </c>
    </row>
    <row r="298" customFormat="false" ht="15" hidden="false" customHeight="true" outlineLevel="0" collapsed="false">
      <c r="A298" s="13" t="s">
        <v>897</v>
      </c>
      <c r="B298" s="13" t="s">
        <v>898</v>
      </c>
      <c r="C298" s="13" t="s">
        <v>899</v>
      </c>
      <c r="D298" s="13" t="s">
        <v>147</v>
      </c>
      <c r="E298" s="14" t="s">
        <v>277</v>
      </c>
      <c r="F298" s="14" t="n">
        <v>4</v>
      </c>
      <c r="G298" s="14" t="n">
        <v>2</v>
      </c>
      <c r="H298" s="14" t="n">
        <f aca="false">F298/G298</f>
        <v>2</v>
      </c>
      <c r="I298" s="14" t="n">
        <v>32.7</v>
      </c>
      <c r="J298" s="14" t="n">
        <v>13</v>
      </c>
      <c r="K298" s="14" t="n">
        <v>47.5</v>
      </c>
    </row>
    <row r="299" customFormat="false" ht="15" hidden="false" customHeight="true" outlineLevel="0" collapsed="false">
      <c r="A299" s="13" t="s">
        <v>900</v>
      </c>
      <c r="B299" s="13" t="s">
        <v>901</v>
      </c>
      <c r="C299" s="13" t="s">
        <v>553</v>
      </c>
      <c r="D299" s="13" t="s">
        <v>147</v>
      </c>
      <c r="E299" s="14" t="s">
        <v>277</v>
      </c>
      <c r="F299" s="14" t="n">
        <v>4</v>
      </c>
      <c r="G299" s="14" t="n">
        <v>2</v>
      </c>
      <c r="H299" s="14" t="n">
        <f aca="false">F299/G299</f>
        <v>2</v>
      </c>
      <c r="I299" s="14" t="n">
        <v>53.6</v>
      </c>
      <c r="J299" s="14" t="n">
        <v>7.1</v>
      </c>
      <c r="K299" s="14" t="n">
        <v>47.5</v>
      </c>
    </row>
    <row r="300" customFormat="false" ht="15" hidden="false" customHeight="true" outlineLevel="0" collapsed="false">
      <c r="A300" s="13" t="s">
        <v>902</v>
      </c>
      <c r="B300" s="13" t="s">
        <v>903</v>
      </c>
      <c r="C300" s="13" t="s">
        <v>904</v>
      </c>
      <c r="D300" s="13" t="s">
        <v>147</v>
      </c>
      <c r="E300" s="14" t="s">
        <v>277</v>
      </c>
      <c r="F300" s="14" t="n">
        <v>4</v>
      </c>
      <c r="G300" s="14" t="n">
        <v>2</v>
      </c>
      <c r="H300" s="14" t="n">
        <f aca="false">F300/G300</f>
        <v>2</v>
      </c>
      <c r="I300" s="14" t="n">
        <v>159.3</v>
      </c>
      <c r="J300" s="14" t="n">
        <v>6.8</v>
      </c>
      <c r="K300" s="14" t="n">
        <v>47.5</v>
      </c>
    </row>
    <row r="301" customFormat="false" ht="15" hidden="false" customHeight="true" outlineLevel="0" collapsed="false">
      <c r="A301" s="13" t="s">
        <v>905</v>
      </c>
      <c r="B301" s="13" t="s">
        <v>906</v>
      </c>
      <c r="C301" s="13" t="s">
        <v>907</v>
      </c>
      <c r="D301" s="13" t="s">
        <v>178</v>
      </c>
      <c r="E301" s="14" t="s">
        <v>277</v>
      </c>
      <c r="F301" s="14" t="n">
        <v>4</v>
      </c>
      <c r="G301" s="14" t="n">
        <v>2</v>
      </c>
      <c r="H301" s="14" t="n">
        <f aca="false">F301/G301</f>
        <v>2</v>
      </c>
      <c r="I301" s="14" t="n">
        <v>38.9</v>
      </c>
      <c r="J301" s="14" t="n">
        <v>4.7</v>
      </c>
      <c r="K301" s="14" t="n">
        <v>47.5</v>
      </c>
    </row>
    <row r="302" customFormat="false" ht="15" hidden="false" customHeight="true" outlineLevel="0" collapsed="false">
      <c r="A302" s="13" t="s">
        <v>908</v>
      </c>
      <c r="B302" s="13" t="s">
        <v>909</v>
      </c>
      <c r="C302" s="13" t="s">
        <v>216</v>
      </c>
      <c r="D302" s="13" t="s">
        <v>77</v>
      </c>
      <c r="E302" s="14" t="s">
        <v>277</v>
      </c>
      <c r="F302" s="14" t="n">
        <v>4</v>
      </c>
      <c r="G302" s="14" t="n">
        <v>2</v>
      </c>
      <c r="H302" s="14" t="n">
        <f aca="false">F302/G302</f>
        <v>2</v>
      </c>
      <c r="I302" s="14" t="n">
        <v>73.3</v>
      </c>
      <c r="J302" s="14" t="n">
        <v>3.8</v>
      </c>
      <c r="K302" s="14" t="n">
        <v>47.5</v>
      </c>
    </row>
    <row r="303" customFormat="false" ht="15" hidden="false" customHeight="true" outlineLevel="0" collapsed="false">
      <c r="A303" s="13" t="s">
        <v>910</v>
      </c>
      <c r="B303" s="13" t="s">
        <v>911</v>
      </c>
      <c r="C303" s="13" t="s">
        <v>480</v>
      </c>
      <c r="D303" s="13" t="s">
        <v>178</v>
      </c>
      <c r="E303" s="14" t="s">
        <v>277</v>
      </c>
      <c r="F303" s="14" t="n">
        <v>4</v>
      </c>
      <c r="G303" s="14" t="n">
        <v>2</v>
      </c>
      <c r="H303" s="14" t="n">
        <f aca="false">F303/G303</f>
        <v>2</v>
      </c>
      <c r="I303" s="14" t="n">
        <v>46.7</v>
      </c>
      <c r="J303" s="14" t="n">
        <v>3.8</v>
      </c>
      <c r="K303" s="14" t="n">
        <v>47.5</v>
      </c>
    </row>
    <row r="304" customFormat="false" ht="15" hidden="false" customHeight="true" outlineLevel="0" collapsed="false">
      <c r="A304" s="13" t="s">
        <v>912</v>
      </c>
      <c r="B304" s="13" t="s">
        <v>913</v>
      </c>
      <c r="C304" s="13" t="s">
        <v>914</v>
      </c>
      <c r="D304" s="13" t="s">
        <v>147</v>
      </c>
      <c r="E304" s="14" t="s">
        <v>277</v>
      </c>
      <c r="F304" s="14" t="n">
        <v>4</v>
      </c>
      <c r="G304" s="14" t="n">
        <v>2</v>
      </c>
      <c r="H304" s="14" t="n">
        <f aca="false">F304/G304</f>
        <v>2</v>
      </c>
      <c r="I304" s="14" t="n">
        <v>7.1</v>
      </c>
      <c r="J304" s="14" t="n">
        <v>3.5</v>
      </c>
      <c r="K304" s="14" t="n">
        <v>47.5</v>
      </c>
    </row>
    <row r="305" customFormat="false" ht="15" hidden="false" customHeight="true" outlineLevel="0" collapsed="false">
      <c r="A305" s="13" t="s">
        <v>915</v>
      </c>
      <c r="B305" s="13" t="s">
        <v>916</v>
      </c>
      <c r="C305" s="13" t="s">
        <v>917</v>
      </c>
      <c r="D305" s="13" t="s">
        <v>178</v>
      </c>
      <c r="E305" s="14" t="s">
        <v>277</v>
      </c>
      <c r="F305" s="14" t="n">
        <v>4</v>
      </c>
      <c r="G305" s="14" t="n">
        <v>2</v>
      </c>
      <c r="H305" s="14" t="n">
        <f aca="false">F305/G305</f>
        <v>2</v>
      </c>
      <c r="I305" s="14" t="n">
        <v>14.3</v>
      </c>
      <c r="J305" s="14" t="n">
        <v>3.5</v>
      </c>
      <c r="K305" s="14" t="n">
        <v>47.5</v>
      </c>
    </row>
    <row r="306" customFormat="false" ht="15" hidden="false" customHeight="true" outlineLevel="0" collapsed="false">
      <c r="A306" s="13" t="s">
        <v>918</v>
      </c>
      <c r="B306" s="13" t="s">
        <v>919</v>
      </c>
      <c r="C306" s="13" t="s">
        <v>681</v>
      </c>
      <c r="D306" s="13" t="s">
        <v>147</v>
      </c>
      <c r="E306" s="14" t="s">
        <v>277</v>
      </c>
      <c r="F306" s="14" t="n">
        <v>4</v>
      </c>
      <c r="G306" s="14" t="n">
        <v>2</v>
      </c>
      <c r="H306" s="14" t="n">
        <f aca="false">F306/G306</f>
        <v>2</v>
      </c>
      <c r="I306" s="14" t="n">
        <v>10</v>
      </c>
      <c r="J306" s="14" t="n">
        <v>2.5</v>
      </c>
      <c r="K306" s="14" t="n">
        <v>47.5</v>
      </c>
    </row>
    <row r="307" customFormat="false" ht="15" hidden="false" customHeight="true" outlineLevel="0" collapsed="false">
      <c r="A307" s="13" t="s">
        <v>920</v>
      </c>
      <c r="B307" s="13" t="s">
        <v>921</v>
      </c>
      <c r="C307" s="13" t="s">
        <v>922</v>
      </c>
      <c r="D307" s="13" t="s">
        <v>178</v>
      </c>
      <c r="E307" s="14" t="s">
        <v>277</v>
      </c>
      <c r="F307" s="14" t="n">
        <v>4</v>
      </c>
      <c r="G307" s="14" t="n">
        <v>2</v>
      </c>
      <c r="H307" s="14" t="n">
        <f aca="false">F307/G307</f>
        <v>2</v>
      </c>
      <c r="I307" s="14" t="n">
        <v>50</v>
      </c>
      <c r="J307" s="14" t="n">
        <v>1.7</v>
      </c>
      <c r="K307" s="14" t="n">
        <v>47.5</v>
      </c>
    </row>
    <row r="308" customFormat="false" ht="15" hidden="false" customHeight="true" outlineLevel="0" collapsed="false">
      <c r="A308" s="13" t="s">
        <v>923</v>
      </c>
      <c r="B308" s="13" t="s">
        <v>924</v>
      </c>
      <c r="C308" s="13" t="s">
        <v>925</v>
      </c>
      <c r="D308" s="13" t="s">
        <v>178</v>
      </c>
      <c r="E308" s="14" t="s">
        <v>277</v>
      </c>
      <c r="F308" s="14" t="n">
        <v>4</v>
      </c>
      <c r="G308" s="14" t="n">
        <v>2</v>
      </c>
      <c r="H308" s="14" t="n">
        <f aca="false">F308/G308</f>
        <v>2</v>
      </c>
      <c r="I308" s="14" t="n">
        <v>33.3</v>
      </c>
      <c r="J308" s="14" t="n">
        <v>1.2</v>
      </c>
      <c r="K308" s="14" t="n">
        <v>47.5</v>
      </c>
    </row>
    <row r="309" customFormat="false" ht="15" hidden="false" customHeight="true" outlineLevel="0" collapsed="false">
      <c r="A309" s="13" t="s">
        <v>926</v>
      </c>
      <c r="B309" s="13" t="s">
        <v>927</v>
      </c>
      <c r="C309" s="13" t="s">
        <v>731</v>
      </c>
      <c r="D309" s="13" t="s">
        <v>178</v>
      </c>
      <c r="E309" s="14" t="s">
        <v>277</v>
      </c>
      <c r="F309" s="14" t="n">
        <v>4</v>
      </c>
      <c r="G309" s="14" t="n">
        <v>2</v>
      </c>
      <c r="H309" s="14" t="n">
        <f aca="false">F309/G309</f>
        <v>2</v>
      </c>
      <c r="I309" s="14" t="n">
        <v>25</v>
      </c>
      <c r="J309" s="14" t="n">
        <v>1</v>
      </c>
      <c r="K309" s="14" t="n">
        <v>47.5</v>
      </c>
    </row>
    <row r="310" customFormat="false" ht="15" hidden="false" customHeight="true" outlineLevel="0" collapsed="false">
      <c r="A310" s="13" t="s">
        <v>928</v>
      </c>
      <c r="B310" s="13" t="s">
        <v>929</v>
      </c>
      <c r="C310" s="13" t="s">
        <v>930</v>
      </c>
      <c r="D310" s="13" t="s">
        <v>147</v>
      </c>
      <c r="E310" s="14" t="s">
        <v>277</v>
      </c>
      <c r="F310" s="14" t="n">
        <v>4</v>
      </c>
      <c r="G310" s="14" t="n">
        <v>2</v>
      </c>
      <c r="H310" s="14" t="n">
        <f aca="false">F310/G310</f>
        <v>2</v>
      </c>
      <c r="I310" s="14" t="n">
        <v>0</v>
      </c>
      <c r="J310" s="14" t="n">
        <v>1</v>
      </c>
      <c r="K310" s="14" t="n">
        <v>47.5</v>
      </c>
    </row>
    <row r="311" customFormat="false" ht="15" hidden="false" customHeight="true" outlineLevel="0" collapsed="false">
      <c r="A311" s="13" t="s">
        <v>931</v>
      </c>
      <c r="B311" s="13" t="s">
        <v>932</v>
      </c>
      <c r="C311" s="13" t="s">
        <v>675</v>
      </c>
      <c r="D311" s="13" t="s">
        <v>147</v>
      </c>
      <c r="E311" s="14" t="s">
        <v>277</v>
      </c>
      <c r="F311" s="14" t="n">
        <v>4</v>
      </c>
      <c r="G311" s="14" t="n">
        <v>2</v>
      </c>
      <c r="H311" s="14" t="n">
        <f aca="false">F311/G311</f>
        <v>2</v>
      </c>
      <c r="I311" s="14" t="n">
        <v>100</v>
      </c>
      <c r="J311" s="14" t="n">
        <v>1</v>
      </c>
      <c r="K311" s="14" t="n">
        <v>47.5</v>
      </c>
    </row>
    <row r="312" customFormat="false" ht="15" hidden="false" customHeight="true" outlineLevel="0" collapsed="false">
      <c r="A312" s="13" t="s">
        <v>933</v>
      </c>
      <c r="B312" s="13" t="s">
        <v>934</v>
      </c>
      <c r="C312" s="13" t="s">
        <v>935</v>
      </c>
      <c r="D312" s="13" t="s">
        <v>178</v>
      </c>
      <c r="E312" s="14" t="s">
        <v>277</v>
      </c>
      <c r="F312" s="14" t="n">
        <v>4</v>
      </c>
      <c r="G312" s="14" t="n">
        <v>2</v>
      </c>
      <c r="H312" s="14" t="n">
        <f aca="false">F312/G312</f>
        <v>2</v>
      </c>
      <c r="I312" s="14" t="n">
        <v>33.3</v>
      </c>
      <c r="J312" s="14" t="n">
        <v>0.9</v>
      </c>
      <c r="K312" s="14" t="n">
        <v>47.5</v>
      </c>
    </row>
    <row r="313" customFormat="false" ht="15" hidden="false" customHeight="true" outlineLevel="0" collapsed="false">
      <c r="A313" s="13" t="s">
        <v>936</v>
      </c>
      <c r="B313" s="13" t="s">
        <v>937</v>
      </c>
      <c r="C313" s="13" t="s">
        <v>938</v>
      </c>
      <c r="D313" s="13" t="s">
        <v>147</v>
      </c>
      <c r="E313" s="14" t="s">
        <v>277</v>
      </c>
      <c r="F313" s="14" t="n">
        <v>4</v>
      </c>
      <c r="G313" s="14" t="n">
        <v>2</v>
      </c>
      <c r="H313" s="14" t="n">
        <f aca="false">F313/G313</f>
        <v>2</v>
      </c>
      <c r="I313" s="14" t="n">
        <v>33.3</v>
      </c>
      <c r="J313" s="14" t="n">
        <v>0.8</v>
      </c>
      <c r="K313" s="14" t="n">
        <v>47.5</v>
      </c>
    </row>
    <row r="314" customFormat="false" ht="15" hidden="false" customHeight="true" outlineLevel="0" collapsed="false">
      <c r="A314" s="13" t="s">
        <v>939</v>
      </c>
      <c r="B314" s="13" t="s">
        <v>940</v>
      </c>
      <c r="C314" s="13" t="s">
        <v>941</v>
      </c>
      <c r="D314" s="13" t="s">
        <v>178</v>
      </c>
      <c r="E314" s="14" t="s">
        <v>277</v>
      </c>
      <c r="F314" s="14" t="n">
        <v>4</v>
      </c>
      <c r="G314" s="14" t="n">
        <v>2</v>
      </c>
      <c r="H314" s="14" t="n">
        <f aca="false">F314/G314</f>
        <v>2</v>
      </c>
      <c r="I314" s="14" t="n">
        <v>0</v>
      </c>
      <c r="J314" s="14" t="n">
        <v>0.7</v>
      </c>
      <c r="K314" s="14" t="n">
        <v>47.5</v>
      </c>
    </row>
    <row r="315" customFormat="false" ht="15" hidden="false" customHeight="true" outlineLevel="0" collapsed="false">
      <c r="A315" s="13" t="s">
        <v>942</v>
      </c>
      <c r="B315" s="13" t="s">
        <v>943</v>
      </c>
      <c r="C315" s="13" t="s">
        <v>944</v>
      </c>
      <c r="D315" s="13" t="s">
        <v>178</v>
      </c>
      <c r="E315" s="14" t="s">
        <v>277</v>
      </c>
      <c r="F315" s="14" t="n">
        <v>4</v>
      </c>
      <c r="G315" s="14" t="n">
        <v>2</v>
      </c>
      <c r="H315" s="14" t="n">
        <f aca="false">F315/G315</f>
        <v>2</v>
      </c>
      <c r="I315" s="14" t="n">
        <v>0</v>
      </c>
      <c r="J315" s="14" t="n">
        <v>0.5</v>
      </c>
      <c r="K315" s="14" t="n">
        <v>47.5</v>
      </c>
    </row>
    <row r="316" customFormat="false" ht="15" hidden="false" customHeight="true" outlineLevel="0" collapsed="false">
      <c r="A316" s="13" t="s">
        <v>945</v>
      </c>
      <c r="B316" s="13" t="s">
        <v>946</v>
      </c>
      <c r="C316" s="13" t="s">
        <v>947</v>
      </c>
      <c r="D316" s="13" t="s">
        <v>147</v>
      </c>
      <c r="E316" s="14" t="s">
        <v>277</v>
      </c>
      <c r="F316" s="14" t="n">
        <v>3</v>
      </c>
      <c r="G316" s="14" t="n">
        <v>2</v>
      </c>
      <c r="H316" s="14" t="n">
        <f aca="false">F316/G316</f>
        <v>1.5</v>
      </c>
      <c r="I316" s="14" t="n">
        <v>68.4</v>
      </c>
      <c r="J316" s="14" t="n">
        <v>59</v>
      </c>
      <c r="K316" s="14" t="n">
        <v>47.5</v>
      </c>
    </row>
    <row r="317" customFormat="false" ht="15" hidden="false" customHeight="true" outlineLevel="0" collapsed="false">
      <c r="A317" s="13" t="s">
        <v>948</v>
      </c>
      <c r="B317" s="13" t="s">
        <v>949</v>
      </c>
      <c r="C317" s="13" t="s">
        <v>950</v>
      </c>
      <c r="D317" s="13" t="s">
        <v>178</v>
      </c>
      <c r="E317" s="14" t="s">
        <v>277</v>
      </c>
      <c r="F317" s="14" t="n">
        <v>3</v>
      </c>
      <c r="G317" s="14" t="n">
        <v>2</v>
      </c>
      <c r="H317" s="14" t="n">
        <f aca="false">F317/G317</f>
        <v>1.5</v>
      </c>
      <c r="I317" s="14" t="n">
        <v>59.3</v>
      </c>
      <c r="J317" s="14" t="n">
        <v>18.1</v>
      </c>
      <c r="K317" s="14" t="n">
        <v>47.5</v>
      </c>
    </row>
    <row r="318" customFormat="false" ht="15" hidden="false" customHeight="true" outlineLevel="0" collapsed="false">
      <c r="A318" s="13" t="s">
        <v>951</v>
      </c>
      <c r="B318" s="13" t="s">
        <v>952</v>
      </c>
      <c r="C318" s="13" t="s">
        <v>953</v>
      </c>
      <c r="D318" s="13" t="s">
        <v>178</v>
      </c>
      <c r="E318" s="14" t="s">
        <v>277</v>
      </c>
      <c r="F318" s="14" t="n">
        <v>3</v>
      </c>
      <c r="G318" s="14" t="n">
        <v>2</v>
      </c>
      <c r="H318" s="14" t="n">
        <f aca="false">F318/G318</f>
        <v>1.5</v>
      </c>
      <c r="I318" s="14" t="n">
        <v>62.9</v>
      </c>
      <c r="J318" s="14" t="n">
        <v>11.7</v>
      </c>
      <c r="K318" s="14" t="n">
        <v>47.5</v>
      </c>
    </row>
    <row r="319" customFormat="false" ht="15" hidden="false" customHeight="true" outlineLevel="0" collapsed="false">
      <c r="A319" s="13" t="s">
        <v>954</v>
      </c>
      <c r="B319" s="13" t="s">
        <v>955</v>
      </c>
      <c r="C319" s="13" t="s">
        <v>956</v>
      </c>
      <c r="D319" s="13" t="s">
        <v>77</v>
      </c>
      <c r="E319" s="14" t="s">
        <v>277</v>
      </c>
      <c r="F319" s="14" t="n">
        <v>3</v>
      </c>
      <c r="G319" s="14" t="n">
        <v>2</v>
      </c>
      <c r="H319" s="14" t="n">
        <f aca="false">F319/G319</f>
        <v>1.5</v>
      </c>
      <c r="I319" s="14" t="n">
        <v>66.7</v>
      </c>
      <c r="J319" s="14" t="n">
        <v>11</v>
      </c>
      <c r="K319" s="14" t="n">
        <v>47.5</v>
      </c>
    </row>
    <row r="320" customFormat="false" ht="15" hidden="false" customHeight="true" outlineLevel="0" collapsed="false">
      <c r="A320" s="13" t="s">
        <v>957</v>
      </c>
      <c r="B320" s="13" t="s">
        <v>958</v>
      </c>
      <c r="C320" s="13" t="s">
        <v>838</v>
      </c>
      <c r="D320" s="13" t="s">
        <v>178</v>
      </c>
      <c r="E320" s="14" t="s">
        <v>277</v>
      </c>
      <c r="F320" s="14" t="n">
        <v>3</v>
      </c>
      <c r="G320" s="14" t="n">
        <v>2</v>
      </c>
      <c r="H320" s="14" t="n">
        <f aca="false">F320/G320</f>
        <v>1.5</v>
      </c>
      <c r="I320" s="14" t="n">
        <v>14.3</v>
      </c>
      <c r="J320" s="14" t="n">
        <v>9.3</v>
      </c>
      <c r="K320" s="14" t="n">
        <v>47.5</v>
      </c>
    </row>
    <row r="321" customFormat="false" ht="15" hidden="false" customHeight="true" outlineLevel="0" collapsed="false">
      <c r="A321" s="13" t="s">
        <v>959</v>
      </c>
      <c r="B321" s="13" t="s">
        <v>960</v>
      </c>
      <c r="C321" s="13" t="s">
        <v>961</v>
      </c>
      <c r="D321" s="13" t="s">
        <v>178</v>
      </c>
      <c r="E321" s="14" t="s">
        <v>277</v>
      </c>
      <c r="F321" s="14" t="n">
        <v>3</v>
      </c>
      <c r="G321" s="14" t="n">
        <v>2</v>
      </c>
      <c r="H321" s="14" t="n">
        <f aca="false">F321/G321</f>
        <v>1.5</v>
      </c>
      <c r="I321" s="14" t="n">
        <v>8</v>
      </c>
      <c r="J321" s="14" t="n">
        <v>8.5</v>
      </c>
      <c r="K321" s="14" t="n">
        <v>47.5</v>
      </c>
    </row>
    <row r="322" customFormat="false" ht="15" hidden="false" customHeight="true" outlineLevel="0" collapsed="false">
      <c r="A322" s="13" t="s">
        <v>962</v>
      </c>
      <c r="B322" s="13" t="s">
        <v>963</v>
      </c>
      <c r="C322" s="13" t="s">
        <v>582</v>
      </c>
      <c r="D322" s="13" t="s">
        <v>178</v>
      </c>
      <c r="E322" s="14" t="s">
        <v>277</v>
      </c>
      <c r="F322" s="14" t="n">
        <v>3</v>
      </c>
      <c r="G322" s="14" t="n">
        <v>2</v>
      </c>
      <c r="H322" s="14" t="n">
        <f aca="false">F322/G322</f>
        <v>1.5</v>
      </c>
      <c r="I322" s="14" t="n">
        <v>34.8</v>
      </c>
      <c r="J322" s="14" t="n">
        <v>7.7</v>
      </c>
      <c r="K322" s="14" t="n">
        <v>47.5</v>
      </c>
    </row>
    <row r="323" customFormat="false" ht="15" hidden="false" customHeight="true" outlineLevel="0" collapsed="false">
      <c r="A323" s="13" t="s">
        <v>964</v>
      </c>
      <c r="B323" s="13" t="s">
        <v>965</v>
      </c>
      <c r="C323" s="13" t="s">
        <v>966</v>
      </c>
      <c r="D323" s="13" t="s">
        <v>147</v>
      </c>
      <c r="E323" s="14" t="s">
        <v>277</v>
      </c>
      <c r="F323" s="14" t="n">
        <v>3</v>
      </c>
      <c r="G323" s="14" t="n">
        <v>2</v>
      </c>
      <c r="H323" s="14" t="n">
        <f aca="false">F323/G323</f>
        <v>1.5</v>
      </c>
      <c r="I323" s="14" t="n">
        <v>78.3</v>
      </c>
      <c r="J323" s="14" t="n">
        <v>7.7</v>
      </c>
      <c r="K323" s="14" t="n">
        <v>47.5</v>
      </c>
    </row>
    <row r="324" customFormat="false" ht="15" hidden="false" customHeight="true" outlineLevel="0" collapsed="false">
      <c r="A324" s="13" t="s">
        <v>967</v>
      </c>
      <c r="B324" s="13" t="s">
        <v>968</v>
      </c>
      <c r="C324" s="13" t="s">
        <v>700</v>
      </c>
      <c r="D324" s="13" t="s">
        <v>178</v>
      </c>
      <c r="E324" s="14" t="s">
        <v>277</v>
      </c>
      <c r="F324" s="14" t="n">
        <v>3</v>
      </c>
      <c r="G324" s="14" t="n">
        <v>2</v>
      </c>
      <c r="H324" s="14" t="n">
        <f aca="false">F324/G324</f>
        <v>1.5</v>
      </c>
      <c r="I324" s="14" t="n">
        <v>9.1</v>
      </c>
      <c r="J324" s="14" t="n">
        <v>5.5</v>
      </c>
      <c r="K324" s="14" t="n">
        <v>47.5</v>
      </c>
    </row>
    <row r="325" customFormat="false" ht="15" hidden="false" customHeight="true" outlineLevel="0" collapsed="false">
      <c r="A325" s="13" t="s">
        <v>969</v>
      </c>
      <c r="B325" s="13" t="s">
        <v>970</v>
      </c>
      <c r="C325" s="13" t="s">
        <v>971</v>
      </c>
      <c r="D325" s="13" t="s">
        <v>147</v>
      </c>
      <c r="E325" s="14" t="s">
        <v>277</v>
      </c>
      <c r="F325" s="14" t="n">
        <v>3</v>
      </c>
      <c r="G325" s="14" t="n">
        <v>2</v>
      </c>
      <c r="H325" s="14" t="n">
        <f aca="false">F325/G325</f>
        <v>1.5</v>
      </c>
      <c r="I325" s="14" t="n">
        <v>173.7</v>
      </c>
      <c r="J325" s="14" t="n">
        <v>6.3</v>
      </c>
      <c r="K325" s="14" t="n">
        <v>47.5</v>
      </c>
    </row>
    <row r="326" customFormat="false" ht="15" hidden="false" customHeight="true" outlineLevel="0" collapsed="false">
      <c r="A326" s="13" t="s">
        <v>972</v>
      </c>
      <c r="B326" s="13" t="s">
        <v>973</v>
      </c>
      <c r="C326" s="13" t="s">
        <v>974</v>
      </c>
      <c r="D326" s="13" t="s">
        <v>178</v>
      </c>
      <c r="E326" s="14" t="s">
        <v>277</v>
      </c>
      <c r="F326" s="14" t="n">
        <v>3</v>
      </c>
      <c r="G326" s="14" t="n">
        <v>2</v>
      </c>
      <c r="H326" s="14" t="n">
        <f aca="false">F326/G326</f>
        <v>1.5</v>
      </c>
      <c r="I326" s="14" t="n">
        <v>25</v>
      </c>
      <c r="J326" s="14" t="n">
        <v>5.3</v>
      </c>
      <c r="K326" s="14" t="n">
        <v>47.5</v>
      </c>
    </row>
    <row r="327" customFormat="false" ht="15" hidden="false" customHeight="true" outlineLevel="0" collapsed="false">
      <c r="A327" s="13" t="s">
        <v>975</v>
      </c>
      <c r="B327" s="13" t="s">
        <v>976</v>
      </c>
      <c r="C327" s="13" t="s">
        <v>977</v>
      </c>
      <c r="D327" s="13" t="s">
        <v>178</v>
      </c>
      <c r="E327" s="14" t="s">
        <v>277</v>
      </c>
      <c r="F327" s="14" t="n">
        <v>3</v>
      </c>
      <c r="G327" s="14" t="n">
        <v>2</v>
      </c>
      <c r="H327" s="14" t="n">
        <f aca="false">F327/G327</f>
        <v>1.5</v>
      </c>
      <c r="I327" s="14" t="n">
        <v>13.3</v>
      </c>
      <c r="J327" s="14" t="n">
        <v>5</v>
      </c>
      <c r="K327" s="14" t="n">
        <v>47.5</v>
      </c>
    </row>
    <row r="328" customFormat="false" ht="15" hidden="false" customHeight="true" outlineLevel="0" collapsed="false">
      <c r="A328" s="13" t="s">
        <v>978</v>
      </c>
      <c r="B328" s="13" t="s">
        <v>979</v>
      </c>
      <c r="C328" s="13" t="s">
        <v>980</v>
      </c>
      <c r="D328" s="13" t="s">
        <v>147</v>
      </c>
      <c r="E328" s="14" t="s">
        <v>277</v>
      </c>
      <c r="F328" s="14" t="n">
        <v>3</v>
      </c>
      <c r="G328" s="14" t="n">
        <v>2</v>
      </c>
      <c r="H328" s="14" t="n">
        <f aca="false">F328/G328</f>
        <v>1.5</v>
      </c>
      <c r="I328" s="14" t="n">
        <v>25</v>
      </c>
      <c r="J328" s="14" t="n">
        <v>4</v>
      </c>
      <c r="K328" s="14" t="n">
        <v>47.5</v>
      </c>
    </row>
    <row r="329" customFormat="false" ht="15" hidden="false" customHeight="true" outlineLevel="0" collapsed="false">
      <c r="A329" s="13" t="s">
        <v>981</v>
      </c>
      <c r="B329" s="13" t="s">
        <v>982</v>
      </c>
      <c r="C329" s="13" t="s">
        <v>983</v>
      </c>
      <c r="D329" s="13" t="s">
        <v>178</v>
      </c>
      <c r="E329" s="14" t="s">
        <v>277</v>
      </c>
      <c r="F329" s="14" t="n">
        <v>3</v>
      </c>
      <c r="G329" s="14" t="n">
        <v>2</v>
      </c>
      <c r="H329" s="14" t="n">
        <f aca="false">F329/G329</f>
        <v>1.5</v>
      </c>
      <c r="I329" s="14" t="n">
        <v>33.3</v>
      </c>
      <c r="J329" s="14" t="n">
        <v>4</v>
      </c>
      <c r="K329" s="14" t="n">
        <v>47.5</v>
      </c>
    </row>
    <row r="330" customFormat="false" ht="15" hidden="false" customHeight="true" outlineLevel="0" collapsed="false">
      <c r="A330" s="13" t="s">
        <v>984</v>
      </c>
      <c r="B330" s="13" t="s">
        <v>985</v>
      </c>
      <c r="C330" s="13" t="s">
        <v>986</v>
      </c>
      <c r="D330" s="13" t="s">
        <v>147</v>
      </c>
      <c r="E330" s="14" t="s">
        <v>277</v>
      </c>
      <c r="F330" s="14" t="n">
        <v>3</v>
      </c>
      <c r="G330" s="14" t="n">
        <v>2</v>
      </c>
      <c r="H330" s="14" t="n">
        <f aca="false">F330/G330</f>
        <v>1.5</v>
      </c>
      <c r="I330" s="14" t="n">
        <v>140</v>
      </c>
      <c r="J330" s="14" t="n">
        <v>3.5</v>
      </c>
      <c r="K330" s="14" t="n">
        <v>47.5</v>
      </c>
    </row>
    <row r="331" customFormat="false" ht="15" hidden="false" customHeight="true" outlineLevel="0" collapsed="false">
      <c r="A331" s="13" t="s">
        <v>987</v>
      </c>
      <c r="B331" s="13" t="s">
        <v>988</v>
      </c>
      <c r="C331" s="13" t="s">
        <v>989</v>
      </c>
      <c r="D331" s="13" t="s">
        <v>147</v>
      </c>
      <c r="E331" s="14" t="s">
        <v>277</v>
      </c>
      <c r="F331" s="14" t="n">
        <v>3</v>
      </c>
      <c r="G331" s="14" t="n">
        <v>2</v>
      </c>
      <c r="H331" s="14" t="n">
        <f aca="false">F331/G331</f>
        <v>1.5</v>
      </c>
      <c r="I331" s="14" t="n">
        <v>87.5</v>
      </c>
      <c r="J331" s="14" t="n">
        <v>2.7</v>
      </c>
      <c r="K331" s="14" t="n">
        <v>47.5</v>
      </c>
    </row>
    <row r="332" customFormat="false" ht="15" hidden="false" customHeight="true" outlineLevel="0" collapsed="false">
      <c r="A332" s="13" t="s">
        <v>990</v>
      </c>
      <c r="B332" s="13" t="s">
        <v>991</v>
      </c>
      <c r="C332" s="13" t="s">
        <v>992</v>
      </c>
      <c r="D332" s="13" t="s">
        <v>178</v>
      </c>
      <c r="E332" s="14" t="s">
        <v>277</v>
      </c>
      <c r="F332" s="14" t="n">
        <v>3</v>
      </c>
      <c r="G332" s="14" t="n">
        <v>2</v>
      </c>
      <c r="H332" s="14" t="n">
        <f aca="false">F332/G332</f>
        <v>1.5</v>
      </c>
      <c r="I332" s="14" t="n">
        <v>14.3</v>
      </c>
      <c r="J332" s="14" t="n">
        <v>2.4</v>
      </c>
      <c r="K332" s="14" t="n">
        <v>47.5</v>
      </c>
    </row>
    <row r="333" customFormat="false" ht="15" hidden="false" customHeight="true" outlineLevel="0" collapsed="false">
      <c r="A333" s="13" t="s">
        <v>993</v>
      </c>
      <c r="B333" s="13" t="s">
        <v>994</v>
      </c>
      <c r="C333" s="13" t="s">
        <v>995</v>
      </c>
      <c r="D333" s="13" t="s">
        <v>178</v>
      </c>
      <c r="E333" s="14" t="s">
        <v>277</v>
      </c>
      <c r="F333" s="14" t="n">
        <v>3</v>
      </c>
      <c r="G333" s="14" t="n">
        <v>2</v>
      </c>
      <c r="H333" s="14" t="n">
        <f aca="false">F333/G333</f>
        <v>1.5</v>
      </c>
      <c r="I333" s="14" t="n">
        <v>14.3</v>
      </c>
      <c r="J333" s="14" t="n">
        <v>2.3</v>
      </c>
      <c r="K333" s="14" t="n">
        <v>47.5</v>
      </c>
    </row>
    <row r="334" customFormat="false" ht="15" hidden="false" customHeight="true" outlineLevel="0" collapsed="false">
      <c r="A334" s="13" t="s">
        <v>996</v>
      </c>
      <c r="B334" s="13" t="s">
        <v>997</v>
      </c>
      <c r="C334" s="13" t="s">
        <v>998</v>
      </c>
      <c r="D334" s="13" t="s">
        <v>178</v>
      </c>
      <c r="E334" s="14" t="s">
        <v>277</v>
      </c>
      <c r="F334" s="14" t="n">
        <v>3</v>
      </c>
      <c r="G334" s="14" t="n">
        <v>2</v>
      </c>
      <c r="H334" s="14" t="n">
        <f aca="false">F334/G334</f>
        <v>1.5</v>
      </c>
      <c r="I334" s="14" t="n">
        <v>71.4</v>
      </c>
      <c r="J334" s="14" t="n">
        <v>2.3</v>
      </c>
      <c r="K334" s="14" t="n">
        <v>47.5</v>
      </c>
    </row>
    <row r="335" customFormat="false" ht="15" hidden="false" customHeight="true" outlineLevel="0" collapsed="false">
      <c r="A335" s="13" t="s">
        <v>999</v>
      </c>
      <c r="B335" s="13" t="s">
        <v>1000</v>
      </c>
      <c r="C335" s="13" t="s">
        <v>1001</v>
      </c>
      <c r="D335" s="13" t="s">
        <v>178</v>
      </c>
      <c r="E335" s="14" t="s">
        <v>277</v>
      </c>
      <c r="F335" s="14" t="n">
        <v>3</v>
      </c>
      <c r="G335" s="14" t="n">
        <v>2</v>
      </c>
      <c r="H335" s="14" t="n">
        <f aca="false">F335/G335</f>
        <v>1.5</v>
      </c>
      <c r="I335" s="14" t="n">
        <v>0</v>
      </c>
      <c r="J335" s="14" t="n">
        <v>2.2</v>
      </c>
      <c r="K335" s="14" t="n">
        <v>47.5</v>
      </c>
    </row>
    <row r="336" customFormat="false" ht="15" hidden="false" customHeight="true" outlineLevel="0" collapsed="false">
      <c r="A336" s="13" t="s">
        <v>1002</v>
      </c>
      <c r="B336" s="13" t="s">
        <v>1003</v>
      </c>
      <c r="C336" s="13" t="s">
        <v>632</v>
      </c>
      <c r="D336" s="13" t="s">
        <v>178</v>
      </c>
      <c r="E336" s="14" t="s">
        <v>277</v>
      </c>
      <c r="F336" s="14" t="n">
        <v>3</v>
      </c>
      <c r="G336" s="14" t="n">
        <v>2</v>
      </c>
      <c r="H336" s="14" t="n">
        <f aca="false">F336/G336</f>
        <v>1.5</v>
      </c>
      <c r="I336" s="14" t="n">
        <v>33.3</v>
      </c>
      <c r="J336" s="14" t="n">
        <v>2.2</v>
      </c>
      <c r="K336" s="14" t="n">
        <v>47.5</v>
      </c>
    </row>
    <row r="337" customFormat="false" ht="15" hidden="false" customHeight="true" outlineLevel="0" collapsed="false">
      <c r="A337" s="13" t="s">
        <v>1004</v>
      </c>
      <c r="B337" s="13" t="s">
        <v>1005</v>
      </c>
      <c r="C337" s="13" t="s">
        <v>1006</v>
      </c>
      <c r="D337" s="13" t="s">
        <v>178</v>
      </c>
      <c r="E337" s="14" t="s">
        <v>277</v>
      </c>
      <c r="F337" s="14" t="n">
        <v>3</v>
      </c>
      <c r="G337" s="14" t="n">
        <v>2</v>
      </c>
      <c r="H337" s="14" t="n">
        <f aca="false">F337/G337</f>
        <v>1.5</v>
      </c>
      <c r="I337" s="14" t="n">
        <v>50</v>
      </c>
      <c r="J337" s="14" t="n">
        <v>2.1</v>
      </c>
      <c r="K337" s="14" t="n">
        <v>47.5</v>
      </c>
    </row>
    <row r="338" customFormat="false" ht="15" hidden="false" customHeight="true" outlineLevel="0" collapsed="false">
      <c r="A338" s="13" t="s">
        <v>1007</v>
      </c>
      <c r="B338" s="13" t="s">
        <v>1008</v>
      </c>
      <c r="C338" s="13" t="s">
        <v>1009</v>
      </c>
      <c r="D338" s="13" t="s">
        <v>178</v>
      </c>
      <c r="E338" s="14" t="s">
        <v>277</v>
      </c>
      <c r="F338" s="14" t="n">
        <v>3</v>
      </c>
      <c r="G338" s="14" t="n">
        <v>2</v>
      </c>
      <c r="H338" s="14" t="n">
        <f aca="false">F338/G338</f>
        <v>1.5</v>
      </c>
      <c r="I338" s="14" t="n">
        <v>50</v>
      </c>
      <c r="J338" s="14" t="n">
        <v>2.1</v>
      </c>
      <c r="K338" s="14" t="n">
        <v>47.5</v>
      </c>
    </row>
    <row r="339" customFormat="false" ht="15" hidden="false" customHeight="true" outlineLevel="0" collapsed="false">
      <c r="A339" s="13" t="s">
        <v>1010</v>
      </c>
      <c r="B339" s="13" t="s">
        <v>1011</v>
      </c>
      <c r="C339" s="13" t="s">
        <v>490</v>
      </c>
      <c r="D339" s="13" t="s">
        <v>178</v>
      </c>
      <c r="E339" s="14" t="s">
        <v>277</v>
      </c>
      <c r="F339" s="14" t="n">
        <v>3</v>
      </c>
      <c r="G339" s="14" t="n">
        <v>2</v>
      </c>
      <c r="H339" s="14" t="n">
        <f aca="false">F339/G339</f>
        <v>1.5</v>
      </c>
      <c r="I339" s="14" t="n">
        <v>0</v>
      </c>
      <c r="J339" s="14" t="n">
        <v>2</v>
      </c>
      <c r="K339" s="14" t="n">
        <v>47.5</v>
      </c>
    </row>
    <row r="340" customFormat="false" ht="15" hidden="false" customHeight="true" outlineLevel="0" collapsed="false">
      <c r="A340" s="13" t="s">
        <v>1012</v>
      </c>
      <c r="B340" s="13" t="s">
        <v>1013</v>
      </c>
      <c r="C340" s="13" t="s">
        <v>1014</v>
      </c>
      <c r="D340" s="13" t="s">
        <v>178</v>
      </c>
      <c r="E340" s="14" t="s">
        <v>277</v>
      </c>
      <c r="F340" s="14" t="n">
        <v>3</v>
      </c>
      <c r="G340" s="14" t="n">
        <v>2</v>
      </c>
      <c r="H340" s="14" t="n">
        <f aca="false">F340/G340</f>
        <v>1.5</v>
      </c>
      <c r="I340" s="14" t="n">
        <v>20</v>
      </c>
      <c r="J340" s="14" t="n">
        <v>1.7</v>
      </c>
      <c r="K340" s="14" t="n">
        <v>47.5</v>
      </c>
    </row>
    <row r="341" customFormat="false" ht="15" hidden="false" customHeight="true" outlineLevel="0" collapsed="false">
      <c r="A341" s="13" t="s">
        <v>1015</v>
      </c>
      <c r="B341" s="13" t="s">
        <v>1016</v>
      </c>
      <c r="C341" s="13" t="s">
        <v>1017</v>
      </c>
      <c r="D341" s="13" t="s">
        <v>77</v>
      </c>
      <c r="E341" s="14" t="s">
        <v>277</v>
      </c>
      <c r="F341" s="14" t="n">
        <v>3</v>
      </c>
      <c r="G341" s="14" t="n">
        <v>2</v>
      </c>
      <c r="H341" s="14" t="n">
        <f aca="false">F341/G341</f>
        <v>1.5</v>
      </c>
      <c r="I341" s="14" t="n">
        <v>60</v>
      </c>
      <c r="J341" s="14" t="n">
        <v>1.7</v>
      </c>
      <c r="K341" s="14" t="n">
        <v>47.5</v>
      </c>
    </row>
    <row r="342" customFormat="false" ht="15" hidden="false" customHeight="true" outlineLevel="0" collapsed="false">
      <c r="A342" s="13" t="s">
        <v>1018</v>
      </c>
      <c r="B342" s="13" t="s">
        <v>1019</v>
      </c>
      <c r="C342" s="13" t="s">
        <v>390</v>
      </c>
      <c r="D342" s="13" t="s">
        <v>178</v>
      </c>
      <c r="E342" s="14" t="s">
        <v>277</v>
      </c>
      <c r="F342" s="14" t="n">
        <v>3</v>
      </c>
      <c r="G342" s="14" t="n">
        <v>2</v>
      </c>
      <c r="H342" s="14" t="n">
        <f aca="false">F342/G342</f>
        <v>1.5</v>
      </c>
      <c r="I342" s="14" t="n">
        <v>50</v>
      </c>
      <c r="J342" s="14" t="n">
        <v>1.3</v>
      </c>
      <c r="K342" s="14" t="n">
        <v>47.5</v>
      </c>
    </row>
    <row r="343" customFormat="false" ht="15" hidden="false" customHeight="true" outlineLevel="0" collapsed="false">
      <c r="A343" s="13" t="s">
        <v>1020</v>
      </c>
      <c r="B343" s="13" t="s">
        <v>1021</v>
      </c>
      <c r="C343" s="13" t="s">
        <v>1022</v>
      </c>
      <c r="D343" s="13" t="s">
        <v>178</v>
      </c>
      <c r="E343" s="14" t="s">
        <v>277</v>
      </c>
      <c r="F343" s="14" t="n">
        <v>3</v>
      </c>
      <c r="G343" s="14" t="n">
        <v>2</v>
      </c>
      <c r="H343" s="14" t="n">
        <f aca="false">F343/G343</f>
        <v>1.5</v>
      </c>
      <c r="I343" s="14" t="n">
        <v>50</v>
      </c>
      <c r="J343" s="14" t="n">
        <v>1.3</v>
      </c>
      <c r="K343" s="14" t="n">
        <v>47.5</v>
      </c>
    </row>
    <row r="344" customFormat="false" ht="15" hidden="false" customHeight="true" outlineLevel="0" collapsed="false">
      <c r="A344" s="13" t="s">
        <v>1023</v>
      </c>
      <c r="B344" s="13" t="s">
        <v>1024</v>
      </c>
      <c r="C344" s="13" t="s">
        <v>675</v>
      </c>
      <c r="D344" s="13" t="s">
        <v>147</v>
      </c>
      <c r="E344" s="14" t="s">
        <v>277</v>
      </c>
      <c r="F344" s="14" t="n">
        <v>3</v>
      </c>
      <c r="G344" s="14" t="n">
        <v>2</v>
      </c>
      <c r="H344" s="14" t="n">
        <f aca="false">F344/G344</f>
        <v>1.5</v>
      </c>
      <c r="I344" s="14" t="n">
        <v>50</v>
      </c>
      <c r="J344" s="14" t="n">
        <v>1</v>
      </c>
      <c r="K344" s="14" t="n">
        <v>47.5</v>
      </c>
    </row>
    <row r="345" customFormat="false" ht="15" hidden="false" customHeight="true" outlineLevel="0" collapsed="false">
      <c r="A345" s="13" t="s">
        <v>1025</v>
      </c>
      <c r="B345" s="13" t="s">
        <v>1026</v>
      </c>
      <c r="C345" s="13" t="s">
        <v>1027</v>
      </c>
      <c r="D345" s="13" t="s">
        <v>178</v>
      </c>
      <c r="E345" s="14" t="s">
        <v>277</v>
      </c>
      <c r="F345" s="14" t="n">
        <v>3</v>
      </c>
      <c r="G345" s="14" t="n">
        <v>2</v>
      </c>
      <c r="H345" s="14" t="n">
        <f aca="false">F345/G345</f>
        <v>1.5</v>
      </c>
      <c r="I345" s="14" t="n">
        <v>0</v>
      </c>
      <c r="J345" s="14" t="n">
        <v>1.3</v>
      </c>
      <c r="K345" s="14" t="n">
        <v>47.5</v>
      </c>
    </row>
    <row r="346" customFormat="false" ht="15" hidden="false" customHeight="true" outlineLevel="0" collapsed="false">
      <c r="A346" s="13" t="s">
        <v>1028</v>
      </c>
      <c r="B346" s="13" t="s">
        <v>1029</v>
      </c>
      <c r="C346" s="13" t="s">
        <v>675</v>
      </c>
      <c r="D346" s="13" t="s">
        <v>147</v>
      </c>
      <c r="E346" s="14" t="s">
        <v>277</v>
      </c>
      <c r="F346" s="14" t="n">
        <v>3</v>
      </c>
      <c r="G346" s="14" t="n">
        <v>2</v>
      </c>
      <c r="H346" s="14" t="n">
        <f aca="false">F346/G346</f>
        <v>1.5</v>
      </c>
      <c r="I346" s="14" t="n">
        <v>100</v>
      </c>
      <c r="J346" s="14" t="n">
        <v>1.3</v>
      </c>
      <c r="K346" s="14" t="n">
        <v>47.5</v>
      </c>
    </row>
    <row r="347" customFormat="false" ht="15" hidden="false" customHeight="true" outlineLevel="0" collapsed="false">
      <c r="A347" s="13" t="s">
        <v>1030</v>
      </c>
      <c r="B347" s="13" t="s">
        <v>1031</v>
      </c>
      <c r="C347" s="13" t="s">
        <v>1032</v>
      </c>
      <c r="D347" s="13" t="s">
        <v>178</v>
      </c>
      <c r="E347" s="14" t="s">
        <v>277</v>
      </c>
      <c r="F347" s="14" t="n">
        <v>3</v>
      </c>
      <c r="G347" s="14" t="n">
        <v>2</v>
      </c>
      <c r="H347" s="14" t="n">
        <f aca="false">F347/G347</f>
        <v>1.5</v>
      </c>
      <c r="I347" s="14" t="n">
        <v>66.7</v>
      </c>
      <c r="J347" s="14" t="n">
        <v>1.2</v>
      </c>
      <c r="K347" s="14" t="n">
        <v>47.5</v>
      </c>
    </row>
    <row r="348" customFormat="false" ht="15" hidden="false" customHeight="true" outlineLevel="0" collapsed="false">
      <c r="A348" s="13" t="s">
        <v>1033</v>
      </c>
      <c r="B348" s="13" t="s">
        <v>1034</v>
      </c>
      <c r="C348" s="13" t="s">
        <v>519</v>
      </c>
      <c r="D348" s="13" t="s">
        <v>147</v>
      </c>
      <c r="E348" s="14" t="s">
        <v>277</v>
      </c>
      <c r="F348" s="14" t="n">
        <v>3</v>
      </c>
      <c r="G348" s="14" t="n">
        <v>2</v>
      </c>
      <c r="H348" s="14" t="n">
        <f aca="false">F348/G348</f>
        <v>1.5</v>
      </c>
      <c r="I348" s="14" t="n">
        <v>66.7</v>
      </c>
      <c r="J348" s="14" t="n">
        <v>1.2</v>
      </c>
      <c r="K348" s="14" t="n">
        <v>47.5</v>
      </c>
    </row>
    <row r="349" customFormat="false" ht="15" hidden="false" customHeight="true" outlineLevel="0" collapsed="false">
      <c r="A349" s="13" t="s">
        <v>1035</v>
      </c>
      <c r="B349" s="13" t="s">
        <v>1036</v>
      </c>
      <c r="C349" s="13" t="s">
        <v>1037</v>
      </c>
      <c r="D349" s="13" t="s">
        <v>147</v>
      </c>
      <c r="E349" s="14" t="s">
        <v>277</v>
      </c>
      <c r="F349" s="14" t="n">
        <v>3</v>
      </c>
      <c r="G349" s="14" t="n">
        <v>2</v>
      </c>
      <c r="H349" s="14" t="n">
        <f aca="false">F349/G349</f>
        <v>1.5</v>
      </c>
      <c r="I349" s="14" t="n">
        <v>0</v>
      </c>
      <c r="J349" s="14" t="n">
        <v>1</v>
      </c>
      <c r="K349" s="14" t="n">
        <v>47.5</v>
      </c>
    </row>
    <row r="350" customFormat="false" ht="15" hidden="false" customHeight="true" outlineLevel="0" collapsed="false">
      <c r="A350" s="13" t="s">
        <v>1038</v>
      </c>
      <c r="B350" s="13" t="s">
        <v>1039</v>
      </c>
      <c r="C350" s="13" t="s">
        <v>1040</v>
      </c>
      <c r="D350" s="13" t="s">
        <v>147</v>
      </c>
      <c r="E350" s="14" t="s">
        <v>277</v>
      </c>
      <c r="F350" s="14" t="n">
        <v>3</v>
      </c>
      <c r="G350" s="14" t="n">
        <v>2</v>
      </c>
      <c r="H350" s="14" t="n">
        <f aca="false">F350/G350</f>
        <v>1.5</v>
      </c>
      <c r="I350" s="14" t="n">
        <v>66.7</v>
      </c>
      <c r="J350" s="14" t="n">
        <v>1</v>
      </c>
      <c r="K350" s="14" t="n">
        <v>47.5</v>
      </c>
    </row>
    <row r="351" customFormat="false" ht="15" hidden="false" customHeight="true" outlineLevel="0" collapsed="false">
      <c r="A351" s="13" t="s">
        <v>1041</v>
      </c>
      <c r="B351" s="13" t="s">
        <v>1042</v>
      </c>
      <c r="C351" s="13" t="s">
        <v>1043</v>
      </c>
      <c r="D351" s="13" t="s">
        <v>178</v>
      </c>
      <c r="E351" s="14" t="s">
        <v>277</v>
      </c>
      <c r="F351" s="14" t="n">
        <v>3</v>
      </c>
      <c r="G351" s="14" t="n">
        <v>2</v>
      </c>
      <c r="H351" s="14" t="n">
        <f aca="false">F351/G351</f>
        <v>1.5</v>
      </c>
      <c r="I351" s="14" t="n">
        <v>33.3</v>
      </c>
      <c r="J351" s="14" t="n">
        <v>1</v>
      </c>
      <c r="K351" s="14" t="n">
        <v>47.5</v>
      </c>
    </row>
    <row r="352" customFormat="false" ht="15" hidden="false" customHeight="true" outlineLevel="0" collapsed="false">
      <c r="A352" s="13" t="s">
        <v>1044</v>
      </c>
      <c r="B352" s="13" t="s">
        <v>1045</v>
      </c>
      <c r="C352" s="13" t="s">
        <v>1046</v>
      </c>
      <c r="D352" s="13" t="s">
        <v>178</v>
      </c>
      <c r="E352" s="14" t="s">
        <v>277</v>
      </c>
      <c r="F352" s="14" t="n">
        <v>3</v>
      </c>
      <c r="G352" s="14" t="n">
        <v>2</v>
      </c>
      <c r="H352" s="14" t="n">
        <f aca="false">F352/G352</f>
        <v>1.5</v>
      </c>
      <c r="I352" s="14" t="n">
        <v>0</v>
      </c>
      <c r="J352" s="14" t="n">
        <v>0.8</v>
      </c>
      <c r="K352" s="14" t="n">
        <v>47.5</v>
      </c>
    </row>
    <row r="353" customFormat="false" ht="15" hidden="false" customHeight="true" outlineLevel="0" collapsed="false">
      <c r="A353" s="13" t="s">
        <v>1047</v>
      </c>
      <c r="B353" s="13" t="s">
        <v>1048</v>
      </c>
      <c r="C353" s="13" t="s">
        <v>700</v>
      </c>
      <c r="D353" s="13" t="s">
        <v>178</v>
      </c>
      <c r="E353" s="14" t="s">
        <v>277</v>
      </c>
      <c r="F353" s="14" t="n">
        <v>3</v>
      </c>
      <c r="G353" s="14" t="n">
        <v>2</v>
      </c>
      <c r="H353" s="14" t="n">
        <f aca="false">F353/G353</f>
        <v>1.5</v>
      </c>
      <c r="I353" s="14" t="n">
        <v>0</v>
      </c>
      <c r="J353" s="14" t="n">
        <v>0.7</v>
      </c>
      <c r="K353" s="14" t="n">
        <v>47.5</v>
      </c>
    </row>
    <row r="354" customFormat="false" ht="15" hidden="false" customHeight="true" outlineLevel="0" collapsed="false">
      <c r="A354" s="13" t="s">
        <v>1049</v>
      </c>
      <c r="B354" s="13" t="s">
        <v>1050</v>
      </c>
      <c r="C354" s="13" t="s">
        <v>681</v>
      </c>
      <c r="D354" s="13" t="s">
        <v>147</v>
      </c>
      <c r="E354" s="14" t="s">
        <v>277</v>
      </c>
      <c r="F354" s="14" t="n">
        <v>3</v>
      </c>
      <c r="G354" s="14" t="n">
        <v>2</v>
      </c>
      <c r="H354" s="14" t="n">
        <f aca="false">F354/G354</f>
        <v>1.5</v>
      </c>
      <c r="I354" s="14" t="n">
        <v>0</v>
      </c>
      <c r="J354" s="14" t="n">
        <v>0.7</v>
      </c>
      <c r="K354" s="14" t="n">
        <v>47.5</v>
      </c>
    </row>
    <row r="355" customFormat="false" ht="15" hidden="false" customHeight="true" outlineLevel="0" collapsed="false">
      <c r="A355" s="13" t="s">
        <v>1051</v>
      </c>
      <c r="B355" s="13" t="s">
        <v>1052</v>
      </c>
      <c r="C355" s="13" t="s">
        <v>1053</v>
      </c>
      <c r="D355" s="13" t="s">
        <v>178</v>
      </c>
      <c r="E355" s="14" t="s">
        <v>277</v>
      </c>
      <c r="F355" s="14" t="n">
        <v>3</v>
      </c>
      <c r="G355" s="14" t="n">
        <v>2</v>
      </c>
      <c r="H355" s="14" t="n">
        <f aca="false">F355/G355</f>
        <v>1.5</v>
      </c>
      <c r="I355" s="14" t="n">
        <v>50</v>
      </c>
      <c r="J355" s="14" t="n">
        <v>0.7</v>
      </c>
      <c r="K355" s="14" t="n">
        <v>47.5</v>
      </c>
    </row>
    <row r="356" customFormat="false" ht="15" hidden="false" customHeight="true" outlineLevel="0" collapsed="false">
      <c r="A356" s="13" t="s">
        <v>1054</v>
      </c>
      <c r="B356" s="13" t="s">
        <v>1055</v>
      </c>
      <c r="C356" s="13" t="s">
        <v>1056</v>
      </c>
      <c r="D356" s="13" t="s">
        <v>178</v>
      </c>
      <c r="E356" s="14" t="s">
        <v>277</v>
      </c>
      <c r="F356" s="14" t="n">
        <v>3</v>
      </c>
      <c r="G356" s="14" t="n">
        <v>2</v>
      </c>
      <c r="H356" s="14" t="n">
        <f aca="false">F356/G356</f>
        <v>1.5</v>
      </c>
      <c r="I356" s="14" t="n">
        <v>100</v>
      </c>
      <c r="J356" s="14" t="n">
        <v>0.6</v>
      </c>
      <c r="K356" s="14" t="n">
        <v>47.5</v>
      </c>
    </row>
    <row r="357" customFormat="false" ht="15" hidden="false" customHeight="true" outlineLevel="0" collapsed="false">
      <c r="A357" s="13" t="s">
        <v>1057</v>
      </c>
      <c r="B357" s="13" t="s">
        <v>1058</v>
      </c>
      <c r="C357" s="13" t="s">
        <v>1059</v>
      </c>
      <c r="D357" s="13" t="s">
        <v>147</v>
      </c>
      <c r="E357" s="14" t="s">
        <v>277</v>
      </c>
      <c r="F357" s="14" t="n">
        <v>3</v>
      </c>
      <c r="G357" s="14" t="n">
        <v>2</v>
      </c>
      <c r="H357" s="14" t="n">
        <f aca="false">F357/G357</f>
        <v>1.5</v>
      </c>
      <c r="I357" s="14" t="n">
        <v>0</v>
      </c>
      <c r="J357" s="14" t="n">
        <v>0.5</v>
      </c>
      <c r="K357" s="14" t="n">
        <v>47.5</v>
      </c>
    </row>
    <row r="358" customFormat="false" ht="15" hidden="false" customHeight="true" outlineLevel="0" collapsed="false">
      <c r="A358" s="13" t="s">
        <v>1060</v>
      </c>
      <c r="B358" s="13" t="s">
        <v>1061</v>
      </c>
      <c r="C358" s="13" t="s">
        <v>1062</v>
      </c>
      <c r="D358" s="13" t="s">
        <v>178</v>
      </c>
      <c r="E358" s="14" t="s">
        <v>277</v>
      </c>
      <c r="F358" s="14" t="n">
        <v>3</v>
      </c>
      <c r="G358" s="14" t="n">
        <v>2</v>
      </c>
      <c r="H358" s="14" t="n">
        <f aca="false">F358/G358</f>
        <v>1.5</v>
      </c>
      <c r="I358" s="14" t="n">
        <v>0</v>
      </c>
      <c r="J358" s="14" t="n">
        <v>0.4</v>
      </c>
      <c r="K358" s="14" t="n">
        <v>47.5</v>
      </c>
    </row>
    <row r="359" customFormat="false" ht="15" hidden="false" customHeight="true" outlineLevel="0" collapsed="false">
      <c r="A359" s="13" t="s">
        <v>1063</v>
      </c>
      <c r="B359" s="13" t="s">
        <v>1064</v>
      </c>
      <c r="C359" s="13" t="s">
        <v>1065</v>
      </c>
      <c r="D359" s="13" t="s">
        <v>77</v>
      </c>
      <c r="E359" s="14" t="s">
        <v>277</v>
      </c>
      <c r="F359" s="14" t="n">
        <v>2</v>
      </c>
      <c r="G359" s="14" t="n">
        <v>2</v>
      </c>
      <c r="H359" s="14" t="n">
        <f aca="false">F359/G359</f>
        <v>1</v>
      </c>
      <c r="I359" s="14" t="n">
        <v>49.2</v>
      </c>
      <c r="J359" s="14" t="n">
        <v>275.5</v>
      </c>
      <c r="K359" s="14" t="n">
        <v>47.5</v>
      </c>
    </row>
    <row r="360" customFormat="false" ht="15" hidden="false" customHeight="true" outlineLevel="0" collapsed="false">
      <c r="A360" s="13" t="s">
        <v>1066</v>
      </c>
      <c r="B360" s="13" t="s">
        <v>1067</v>
      </c>
      <c r="C360" s="13" t="s">
        <v>1068</v>
      </c>
      <c r="D360" s="13" t="s">
        <v>178</v>
      </c>
      <c r="E360" s="14" t="s">
        <v>277</v>
      </c>
      <c r="F360" s="14" t="n">
        <v>2</v>
      </c>
      <c r="G360" s="14" t="n">
        <v>2</v>
      </c>
      <c r="H360" s="14" t="n">
        <f aca="false">F360/G360</f>
        <v>1</v>
      </c>
      <c r="I360" s="14" t="n">
        <v>49.5</v>
      </c>
      <c r="J360" s="14" t="n">
        <v>52.5</v>
      </c>
      <c r="K360" s="14" t="n">
        <v>47.5</v>
      </c>
    </row>
    <row r="361" customFormat="false" ht="15" hidden="false" customHeight="true" outlineLevel="0" collapsed="false">
      <c r="A361" s="13" t="s">
        <v>1069</v>
      </c>
      <c r="B361" s="13" t="s">
        <v>1070</v>
      </c>
      <c r="C361" s="13" t="s">
        <v>1071</v>
      </c>
      <c r="D361" s="13" t="s">
        <v>178</v>
      </c>
      <c r="E361" s="14" t="s">
        <v>277</v>
      </c>
      <c r="F361" s="14" t="n">
        <v>2</v>
      </c>
      <c r="G361" s="14" t="n">
        <v>2</v>
      </c>
      <c r="H361" s="14" t="n">
        <f aca="false">F361/G361</f>
        <v>1</v>
      </c>
      <c r="I361" s="14" t="n">
        <v>30.6</v>
      </c>
      <c r="J361" s="14" t="n">
        <v>24.5</v>
      </c>
      <c r="K361" s="14" t="n">
        <v>47.5</v>
      </c>
    </row>
    <row r="362" customFormat="false" ht="15" hidden="false" customHeight="true" outlineLevel="0" collapsed="false">
      <c r="A362" s="13" t="s">
        <v>1072</v>
      </c>
      <c r="B362" s="13" t="s">
        <v>1073</v>
      </c>
      <c r="C362" s="13" t="s">
        <v>1074</v>
      </c>
      <c r="D362" s="13" t="s">
        <v>77</v>
      </c>
      <c r="E362" s="14" t="s">
        <v>277</v>
      </c>
      <c r="F362" s="14" t="n">
        <v>2</v>
      </c>
      <c r="G362" s="14" t="n">
        <v>2</v>
      </c>
      <c r="H362" s="14" t="n">
        <f aca="false">F362/G362</f>
        <v>1</v>
      </c>
      <c r="I362" s="14" t="n">
        <v>64</v>
      </c>
      <c r="J362" s="14" t="n">
        <v>12.5</v>
      </c>
      <c r="K362" s="14" t="n">
        <v>47.5</v>
      </c>
    </row>
    <row r="363" customFormat="false" ht="15" hidden="false" customHeight="true" outlineLevel="0" collapsed="false">
      <c r="A363" s="13" t="s">
        <v>1075</v>
      </c>
      <c r="B363" s="13" t="s">
        <v>1076</v>
      </c>
      <c r="C363" s="13" t="s">
        <v>1077</v>
      </c>
      <c r="D363" s="13" t="s">
        <v>178</v>
      </c>
      <c r="E363" s="14" t="s">
        <v>277</v>
      </c>
      <c r="F363" s="14" t="n">
        <v>2</v>
      </c>
      <c r="G363" s="14" t="n">
        <v>2</v>
      </c>
      <c r="H363" s="14" t="n">
        <f aca="false">F363/G363</f>
        <v>1</v>
      </c>
      <c r="I363" s="14" t="n">
        <v>15.8</v>
      </c>
      <c r="J363" s="14" t="n">
        <v>9.5</v>
      </c>
      <c r="K363" s="14" t="n">
        <v>47.5</v>
      </c>
    </row>
    <row r="364" customFormat="false" ht="15" hidden="false" customHeight="true" outlineLevel="0" collapsed="false">
      <c r="A364" s="13" t="s">
        <v>1078</v>
      </c>
      <c r="B364" s="13" t="s">
        <v>1079</v>
      </c>
      <c r="C364" s="13" t="s">
        <v>1080</v>
      </c>
      <c r="D364" s="13" t="s">
        <v>178</v>
      </c>
      <c r="E364" s="14" t="s">
        <v>277</v>
      </c>
      <c r="F364" s="14" t="n">
        <v>2</v>
      </c>
      <c r="G364" s="14" t="n">
        <v>2</v>
      </c>
      <c r="H364" s="14" t="n">
        <f aca="false">F364/G364</f>
        <v>1</v>
      </c>
      <c r="I364" s="14" t="n">
        <v>78.6</v>
      </c>
      <c r="J364" s="14" t="n">
        <v>7</v>
      </c>
      <c r="K364" s="14" t="n">
        <v>47.5</v>
      </c>
    </row>
    <row r="365" customFormat="false" ht="15" hidden="false" customHeight="true" outlineLevel="0" collapsed="false">
      <c r="A365" s="13" t="s">
        <v>1081</v>
      </c>
      <c r="B365" s="13" t="s">
        <v>1082</v>
      </c>
      <c r="C365" s="13" t="s">
        <v>1083</v>
      </c>
      <c r="D365" s="13" t="s">
        <v>147</v>
      </c>
      <c r="E365" s="14" t="s">
        <v>277</v>
      </c>
      <c r="F365" s="14" t="n">
        <v>2</v>
      </c>
      <c r="G365" s="14" t="n">
        <v>2</v>
      </c>
      <c r="H365" s="14" t="n">
        <f aca="false">F365/G365</f>
        <v>1</v>
      </c>
      <c r="I365" s="14" t="n">
        <v>71.4</v>
      </c>
      <c r="J365" s="14" t="n">
        <v>3.5</v>
      </c>
      <c r="K365" s="14" t="n">
        <v>47.5</v>
      </c>
    </row>
    <row r="366" customFormat="false" ht="15" hidden="false" customHeight="true" outlineLevel="0" collapsed="false">
      <c r="A366" s="13" t="s">
        <v>1084</v>
      </c>
      <c r="B366" s="13" t="s">
        <v>1085</v>
      </c>
      <c r="C366" s="13" t="s">
        <v>1086</v>
      </c>
      <c r="D366" s="13" t="s">
        <v>147</v>
      </c>
      <c r="E366" s="14" t="s">
        <v>277</v>
      </c>
      <c r="F366" s="14" t="n">
        <v>2</v>
      </c>
      <c r="G366" s="14" t="n">
        <v>2</v>
      </c>
      <c r="H366" s="14" t="n">
        <f aca="false">F366/G366</f>
        <v>1</v>
      </c>
      <c r="I366" s="14" t="n">
        <v>66.7</v>
      </c>
      <c r="J366" s="14" t="n">
        <v>3</v>
      </c>
      <c r="K366" s="14" t="n">
        <v>47.5</v>
      </c>
    </row>
    <row r="367" customFormat="false" ht="15" hidden="false" customHeight="true" outlineLevel="0" collapsed="false">
      <c r="A367" s="13" t="s">
        <v>1087</v>
      </c>
      <c r="B367" s="13" t="s">
        <v>1088</v>
      </c>
      <c r="C367" s="13" t="s">
        <v>832</v>
      </c>
      <c r="D367" s="13" t="s">
        <v>147</v>
      </c>
      <c r="E367" s="14" t="s">
        <v>277</v>
      </c>
      <c r="F367" s="14" t="n">
        <v>2</v>
      </c>
      <c r="G367" s="14" t="n">
        <v>2</v>
      </c>
      <c r="H367" s="14" t="n">
        <f aca="false">F367/G367</f>
        <v>1</v>
      </c>
      <c r="I367" s="14" t="n">
        <v>40</v>
      </c>
      <c r="J367" s="14" t="n">
        <v>2.8</v>
      </c>
      <c r="K367" s="14" t="n">
        <v>47.5</v>
      </c>
    </row>
    <row r="368" customFormat="false" ht="15" hidden="false" customHeight="true" outlineLevel="0" collapsed="false">
      <c r="A368" s="13" t="s">
        <v>1089</v>
      </c>
      <c r="B368" s="13" t="s">
        <v>1090</v>
      </c>
      <c r="C368" s="13" t="s">
        <v>1091</v>
      </c>
      <c r="D368" s="13" t="s">
        <v>178</v>
      </c>
      <c r="E368" s="14" t="s">
        <v>277</v>
      </c>
      <c r="F368" s="14" t="n">
        <v>2</v>
      </c>
      <c r="G368" s="14" t="n">
        <v>2</v>
      </c>
      <c r="H368" s="14" t="n">
        <f aca="false">F368/G368</f>
        <v>1</v>
      </c>
      <c r="I368" s="14" t="n">
        <v>40</v>
      </c>
      <c r="J368" s="14" t="n">
        <v>2.5</v>
      </c>
      <c r="K368" s="14" t="n">
        <v>47.5</v>
      </c>
    </row>
    <row r="369" customFormat="false" ht="15" hidden="false" customHeight="true" outlineLevel="0" collapsed="false">
      <c r="A369" s="13" t="s">
        <v>1092</v>
      </c>
      <c r="B369" s="13" t="s">
        <v>1093</v>
      </c>
      <c r="C369" s="13" t="s">
        <v>843</v>
      </c>
      <c r="D369" s="13" t="s">
        <v>178</v>
      </c>
      <c r="E369" s="14" t="s">
        <v>277</v>
      </c>
      <c r="F369" s="14" t="n">
        <v>2</v>
      </c>
      <c r="G369" s="14" t="n">
        <v>2</v>
      </c>
      <c r="H369" s="14" t="n">
        <f aca="false">F369/G369</f>
        <v>1</v>
      </c>
      <c r="I369" s="14" t="n">
        <v>60</v>
      </c>
      <c r="J369" s="14" t="n">
        <v>2.5</v>
      </c>
      <c r="K369" s="14" t="n">
        <v>47.5</v>
      </c>
    </row>
    <row r="370" customFormat="false" ht="15" hidden="false" customHeight="true" outlineLevel="0" collapsed="false">
      <c r="A370" s="13" t="s">
        <v>1094</v>
      </c>
      <c r="B370" s="13" t="s">
        <v>1095</v>
      </c>
      <c r="C370" s="13" t="s">
        <v>390</v>
      </c>
      <c r="D370" s="13" t="s">
        <v>178</v>
      </c>
      <c r="E370" s="14" t="s">
        <v>277</v>
      </c>
      <c r="F370" s="14" t="n">
        <v>2</v>
      </c>
      <c r="G370" s="14" t="n">
        <v>2</v>
      </c>
      <c r="H370" s="14" t="n">
        <f aca="false">F370/G370</f>
        <v>1</v>
      </c>
      <c r="I370" s="14" t="n">
        <v>50</v>
      </c>
      <c r="J370" s="14" t="n">
        <v>2.4</v>
      </c>
      <c r="K370" s="14" t="n">
        <v>47.5</v>
      </c>
    </row>
    <row r="371" customFormat="false" ht="15" hidden="false" customHeight="true" outlineLevel="0" collapsed="false">
      <c r="A371" s="13" t="s">
        <v>1096</v>
      </c>
      <c r="B371" s="13" t="s">
        <v>1097</v>
      </c>
      <c r="C371" s="13" t="s">
        <v>1098</v>
      </c>
      <c r="D371" s="13" t="s">
        <v>147</v>
      </c>
      <c r="E371" s="14" t="s">
        <v>277</v>
      </c>
      <c r="F371" s="14" t="n">
        <v>2</v>
      </c>
      <c r="G371" s="14" t="n">
        <v>2</v>
      </c>
      <c r="H371" s="14" t="n">
        <f aca="false">F371/G371</f>
        <v>1</v>
      </c>
      <c r="I371" s="14" t="n">
        <v>75</v>
      </c>
      <c r="J371" s="14" t="n">
        <v>2.2</v>
      </c>
      <c r="K371" s="14" t="n">
        <v>47.5</v>
      </c>
    </row>
    <row r="372" customFormat="false" ht="15" hidden="false" customHeight="true" outlineLevel="0" collapsed="false">
      <c r="A372" s="13" t="s">
        <v>1099</v>
      </c>
      <c r="B372" s="13" t="s">
        <v>1100</v>
      </c>
      <c r="C372" s="13" t="s">
        <v>1101</v>
      </c>
      <c r="D372" s="13" t="s">
        <v>178</v>
      </c>
      <c r="E372" s="14" t="s">
        <v>277</v>
      </c>
      <c r="F372" s="14" t="n">
        <v>2</v>
      </c>
      <c r="G372" s="14" t="n">
        <v>2</v>
      </c>
      <c r="H372" s="14" t="n">
        <f aca="false">F372/G372</f>
        <v>1</v>
      </c>
      <c r="I372" s="14" t="n">
        <v>25</v>
      </c>
      <c r="J372" s="14" t="n">
        <v>1.5</v>
      </c>
      <c r="K372" s="14" t="n">
        <v>47.5</v>
      </c>
    </row>
    <row r="373" customFormat="false" ht="15" hidden="false" customHeight="true" outlineLevel="0" collapsed="false">
      <c r="A373" s="13" t="s">
        <v>1102</v>
      </c>
      <c r="B373" s="13" t="s">
        <v>1103</v>
      </c>
      <c r="C373" s="13" t="s">
        <v>700</v>
      </c>
      <c r="D373" s="13" t="s">
        <v>178</v>
      </c>
      <c r="E373" s="14" t="s">
        <v>277</v>
      </c>
      <c r="F373" s="14" t="n">
        <v>2</v>
      </c>
      <c r="G373" s="14" t="n">
        <v>2</v>
      </c>
      <c r="H373" s="14" t="n">
        <f aca="false">F373/G373</f>
        <v>1</v>
      </c>
      <c r="I373" s="14" t="n">
        <v>25</v>
      </c>
      <c r="J373" s="14" t="n">
        <v>2.2</v>
      </c>
      <c r="K373" s="14" t="n">
        <v>47.5</v>
      </c>
    </row>
    <row r="374" customFormat="false" ht="15" hidden="false" customHeight="true" outlineLevel="0" collapsed="false">
      <c r="A374" s="13" t="s">
        <v>1104</v>
      </c>
      <c r="B374" s="13" t="s">
        <v>1105</v>
      </c>
      <c r="C374" s="13" t="s">
        <v>1106</v>
      </c>
      <c r="D374" s="13" t="s">
        <v>178</v>
      </c>
      <c r="E374" s="14" t="s">
        <v>277</v>
      </c>
      <c r="F374" s="14" t="n">
        <v>2</v>
      </c>
      <c r="G374" s="14" t="n">
        <v>2</v>
      </c>
      <c r="H374" s="14" t="n">
        <f aca="false">F374/G374</f>
        <v>1</v>
      </c>
      <c r="I374" s="14" t="n">
        <v>50</v>
      </c>
      <c r="J374" s="14" t="n">
        <v>2.1</v>
      </c>
      <c r="K374" s="14" t="n">
        <v>47.5</v>
      </c>
    </row>
    <row r="375" customFormat="false" ht="15" hidden="false" customHeight="true" outlineLevel="0" collapsed="false">
      <c r="A375" s="13" t="s">
        <v>1107</v>
      </c>
      <c r="B375" s="13" t="s">
        <v>1108</v>
      </c>
      <c r="C375" s="13" t="s">
        <v>280</v>
      </c>
      <c r="D375" s="13" t="s">
        <v>147</v>
      </c>
      <c r="E375" s="14" t="s">
        <v>277</v>
      </c>
      <c r="F375" s="14" t="n">
        <v>2</v>
      </c>
      <c r="G375" s="14" t="n">
        <v>2</v>
      </c>
      <c r="H375" s="14" t="n">
        <f aca="false">F375/G375</f>
        <v>1</v>
      </c>
      <c r="I375" s="14" t="n">
        <v>75</v>
      </c>
      <c r="J375" s="14" t="n">
        <v>2</v>
      </c>
      <c r="K375" s="14" t="n">
        <v>47.5</v>
      </c>
    </row>
    <row r="376" customFormat="false" ht="15" hidden="false" customHeight="true" outlineLevel="0" collapsed="false">
      <c r="A376" s="13" t="s">
        <v>1109</v>
      </c>
      <c r="B376" s="13" t="s">
        <v>1110</v>
      </c>
      <c r="C376" s="13" t="s">
        <v>922</v>
      </c>
      <c r="D376" s="13" t="s">
        <v>178</v>
      </c>
      <c r="E376" s="14" t="s">
        <v>277</v>
      </c>
      <c r="F376" s="14" t="n">
        <v>2</v>
      </c>
      <c r="G376" s="14" t="n">
        <v>2</v>
      </c>
      <c r="H376" s="14" t="n">
        <f aca="false">F376/G376</f>
        <v>1</v>
      </c>
      <c r="I376" s="14" t="n">
        <v>0</v>
      </c>
      <c r="J376" s="14" t="n">
        <v>1.3</v>
      </c>
      <c r="K376" s="14" t="n">
        <v>47.5</v>
      </c>
    </row>
    <row r="377" customFormat="false" ht="15" hidden="false" customHeight="true" outlineLevel="0" collapsed="false">
      <c r="A377" s="13" t="s">
        <v>1111</v>
      </c>
      <c r="B377" s="13" t="s">
        <v>1112</v>
      </c>
      <c r="C377" s="13" t="s">
        <v>1113</v>
      </c>
      <c r="D377" s="13" t="s">
        <v>178</v>
      </c>
      <c r="E377" s="14" t="s">
        <v>277</v>
      </c>
      <c r="F377" s="14" t="n">
        <v>2</v>
      </c>
      <c r="G377" s="14" t="n">
        <v>2</v>
      </c>
      <c r="H377" s="14" t="n">
        <f aca="false">F377/G377</f>
        <v>1</v>
      </c>
      <c r="I377" s="14" t="n">
        <v>0</v>
      </c>
      <c r="J377" s="14" t="n">
        <v>2</v>
      </c>
      <c r="K377" s="14" t="n">
        <v>47.5</v>
      </c>
    </row>
    <row r="378" customFormat="false" ht="15" hidden="false" customHeight="true" outlineLevel="0" collapsed="false">
      <c r="A378" s="13" t="s">
        <v>1114</v>
      </c>
      <c r="B378" s="13" t="s">
        <v>1115</v>
      </c>
      <c r="C378" s="13" t="s">
        <v>1116</v>
      </c>
      <c r="D378" s="13" t="s">
        <v>178</v>
      </c>
      <c r="E378" s="14" t="s">
        <v>277</v>
      </c>
      <c r="F378" s="14" t="n">
        <v>2</v>
      </c>
      <c r="G378" s="14" t="n">
        <v>2</v>
      </c>
      <c r="H378" s="14" t="n">
        <f aca="false">F378/G378</f>
        <v>1</v>
      </c>
      <c r="I378" s="14" t="n">
        <v>0</v>
      </c>
      <c r="J378" s="14" t="n">
        <v>2</v>
      </c>
      <c r="K378" s="14" t="n">
        <v>47.5</v>
      </c>
    </row>
    <row r="379" customFormat="false" ht="15" hidden="false" customHeight="true" outlineLevel="0" collapsed="false">
      <c r="A379" s="13" t="s">
        <v>1117</v>
      </c>
      <c r="B379" s="13" t="s">
        <v>1118</v>
      </c>
      <c r="C379" s="13" t="s">
        <v>1119</v>
      </c>
      <c r="D379" s="13" t="s">
        <v>147</v>
      </c>
      <c r="E379" s="14" t="s">
        <v>277</v>
      </c>
      <c r="F379" s="14" t="n">
        <v>2</v>
      </c>
      <c r="G379" s="14" t="n">
        <v>2</v>
      </c>
      <c r="H379" s="14" t="n">
        <f aca="false">F379/G379</f>
        <v>1</v>
      </c>
      <c r="I379" s="14" t="n">
        <v>66.7</v>
      </c>
      <c r="J379" s="14" t="n">
        <v>1.8</v>
      </c>
      <c r="K379" s="14" t="n">
        <v>47.5</v>
      </c>
    </row>
    <row r="380" customFormat="false" ht="15" hidden="false" customHeight="true" outlineLevel="0" collapsed="false">
      <c r="A380" s="13" t="s">
        <v>1120</v>
      </c>
      <c r="B380" s="13" t="s">
        <v>1121</v>
      </c>
      <c r="C380" s="13" t="s">
        <v>1122</v>
      </c>
      <c r="D380" s="13" t="s">
        <v>178</v>
      </c>
      <c r="E380" s="14" t="s">
        <v>277</v>
      </c>
      <c r="F380" s="14" t="n">
        <v>2</v>
      </c>
      <c r="G380" s="14" t="n">
        <v>2</v>
      </c>
      <c r="H380" s="14" t="n">
        <f aca="false">F380/G380</f>
        <v>1</v>
      </c>
      <c r="I380" s="14" t="n">
        <v>0</v>
      </c>
      <c r="J380" s="14" t="n">
        <v>1.7</v>
      </c>
      <c r="K380" s="14" t="n">
        <v>47.5</v>
      </c>
    </row>
    <row r="381" customFormat="false" ht="15" hidden="false" customHeight="true" outlineLevel="0" collapsed="false">
      <c r="A381" s="13" t="s">
        <v>1123</v>
      </c>
      <c r="B381" s="13" t="s">
        <v>1124</v>
      </c>
      <c r="C381" s="13" t="s">
        <v>1125</v>
      </c>
      <c r="D381" s="13" t="s">
        <v>178</v>
      </c>
      <c r="E381" s="14" t="s">
        <v>277</v>
      </c>
      <c r="F381" s="14" t="n">
        <v>2</v>
      </c>
      <c r="G381" s="14" t="n">
        <v>2</v>
      </c>
      <c r="H381" s="14" t="n">
        <f aca="false">F381/G381</f>
        <v>1</v>
      </c>
      <c r="I381" s="14" t="n">
        <v>33.3</v>
      </c>
      <c r="J381" s="14" t="n">
        <v>1.6</v>
      </c>
      <c r="K381" s="14" t="n">
        <v>47.5</v>
      </c>
    </row>
    <row r="382" customFormat="false" ht="15" hidden="false" customHeight="true" outlineLevel="0" collapsed="false">
      <c r="A382" s="13" t="s">
        <v>1126</v>
      </c>
      <c r="B382" s="13" t="s">
        <v>1127</v>
      </c>
      <c r="C382" s="13" t="s">
        <v>1128</v>
      </c>
      <c r="D382" s="13" t="s">
        <v>147</v>
      </c>
      <c r="E382" s="14" t="s">
        <v>277</v>
      </c>
      <c r="F382" s="14" t="n">
        <v>2</v>
      </c>
      <c r="G382" s="14" t="n">
        <v>2</v>
      </c>
      <c r="H382" s="14" t="n">
        <f aca="false">F382/G382</f>
        <v>1</v>
      </c>
      <c r="I382" s="14" t="n">
        <v>33.3</v>
      </c>
      <c r="J382" s="14" t="n">
        <v>1.5</v>
      </c>
      <c r="K382" s="14" t="n">
        <v>47.5</v>
      </c>
    </row>
    <row r="383" customFormat="false" ht="15" hidden="false" customHeight="true" outlineLevel="0" collapsed="false">
      <c r="A383" s="13" t="s">
        <v>1129</v>
      </c>
      <c r="B383" s="13" t="s">
        <v>1130</v>
      </c>
      <c r="C383" s="13" t="s">
        <v>1131</v>
      </c>
      <c r="D383" s="13" t="s">
        <v>178</v>
      </c>
      <c r="E383" s="14" t="s">
        <v>277</v>
      </c>
      <c r="F383" s="14" t="n">
        <v>2</v>
      </c>
      <c r="G383" s="14" t="n">
        <v>2</v>
      </c>
      <c r="H383" s="14" t="n">
        <f aca="false">F383/G383</f>
        <v>1</v>
      </c>
      <c r="I383" s="14" t="n">
        <v>33.3</v>
      </c>
      <c r="J383" s="14" t="n">
        <v>1.5</v>
      </c>
      <c r="K383" s="14" t="n">
        <v>47.5</v>
      </c>
    </row>
    <row r="384" customFormat="false" ht="15" hidden="false" customHeight="true" outlineLevel="0" collapsed="false">
      <c r="A384" s="13" t="s">
        <v>1132</v>
      </c>
      <c r="B384" s="13" t="s">
        <v>1133</v>
      </c>
      <c r="C384" s="13" t="s">
        <v>1134</v>
      </c>
      <c r="D384" s="13" t="s">
        <v>147</v>
      </c>
      <c r="E384" s="14" t="s">
        <v>277</v>
      </c>
      <c r="F384" s="14" t="n">
        <v>2</v>
      </c>
      <c r="G384" s="14" t="n">
        <v>2</v>
      </c>
      <c r="H384" s="14" t="n">
        <f aca="false">F384/G384</f>
        <v>1</v>
      </c>
      <c r="I384" s="14" t="n">
        <v>100</v>
      </c>
      <c r="J384" s="14" t="n">
        <v>1.3</v>
      </c>
      <c r="K384" s="14" t="n">
        <v>47.5</v>
      </c>
    </row>
    <row r="385" customFormat="false" ht="15" hidden="false" customHeight="true" outlineLevel="0" collapsed="false">
      <c r="A385" s="13" t="s">
        <v>1135</v>
      </c>
      <c r="B385" s="13" t="s">
        <v>1136</v>
      </c>
      <c r="C385" s="13" t="s">
        <v>740</v>
      </c>
      <c r="D385" s="13" t="s">
        <v>178</v>
      </c>
      <c r="E385" s="14" t="s">
        <v>277</v>
      </c>
      <c r="F385" s="14" t="n">
        <v>2</v>
      </c>
      <c r="G385" s="14" t="n">
        <v>2</v>
      </c>
      <c r="H385" s="14" t="n">
        <f aca="false">F385/G385</f>
        <v>1</v>
      </c>
      <c r="I385" s="14" t="n">
        <v>0</v>
      </c>
      <c r="J385" s="14" t="n">
        <v>1.2</v>
      </c>
      <c r="K385" s="14" t="n">
        <v>47.5</v>
      </c>
    </row>
    <row r="386" customFormat="false" ht="15" hidden="false" customHeight="true" outlineLevel="0" collapsed="false">
      <c r="A386" s="13" t="s">
        <v>1137</v>
      </c>
      <c r="B386" s="13" t="s">
        <v>1138</v>
      </c>
      <c r="C386" s="13" t="s">
        <v>1139</v>
      </c>
      <c r="D386" s="13" t="s">
        <v>178</v>
      </c>
      <c r="E386" s="14" t="s">
        <v>277</v>
      </c>
      <c r="F386" s="14" t="n">
        <v>2</v>
      </c>
      <c r="G386" s="14" t="n">
        <v>2</v>
      </c>
      <c r="H386" s="14" t="n">
        <f aca="false">F386/G386</f>
        <v>1</v>
      </c>
      <c r="I386" s="14" t="n">
        <v>0</v>
      </c>
      <c r="J386" s="14" t="n">
        <v>1</v>
      </c>
      <c r="K386" s="14" t="n">
        <v>47.5</v>
      </c>
    </row>
    <row r="387" customFormat="false" ht="15" hidden="false" customHeight="true" outlineLevel="0" collapsed="false">
      <c r="A387" s="13" t="s">
        <v>1140</v>
      </c>
      <c r="B387" s="13" t="s">
        <v>1141</v>
      </c>
      <c r="C387" s="13" t="s">
        <v>1142</v>
      </c>
      <c r="D387" s="13" t="s">
        <v>178</v>
      </c>
      <c r="E387" s="14" t="s">
        <v>277</v>
      </c>
      <c r="F387" s="14" t="n">
        <v>2</v>
      </c>
      <c r="G387" s="14" t="n">
        <v>2</v>
      </c>
      <c r="H387" s="14" t="n">
        <f aca="false">F387/G387</f>
        <v>1</v>
      </c>
      <c r="I387" s="14" t="n">
        <v>50</v>
      </c>
      <c r="J387" s="14" t="n">
        <v>1</v>
      </c>
      <c r="K387" s="14" t="n">
        <v>47.5</v>
      </c>
    </row>
    <row r="388" customFormat="false" ht="15" hidden="false" customHeight="true" outlineLevel="0" collapsed="false">
      <c r="A388" s="13" t="s">
        <v>1143</v>
      </c>
      <c r="B388" s="13" t="s">
        <v>1144</v>
      </c>
      <c r="C388" s="13" t="s">
        <v>998</v>
      </c>
      <c r="D388" s="13" t="s">
        <v>178</v>
      </c>
      <c r="E388" s="14" t="s">
        <v>277</v>
      </c>
      <c r="F388" s="14" t="n">
        <v>2</v>
      </c>
      <c r="G388" s="14" t="n">
        <v>2</v>
      </c>
      <c r="H388" s="14" t="n">
        <f aca="false">F388/G388</f>
        <v>1</v>
      </c>
      <c r="I388" s="14" t="n">
        <v>50</v>
      </c>
      <c r="J388" s="14" t="n">
        <v>1</v>
      </c>
      <c r="K388" s="14" t="n">
        <v>47.5</v>
      </c>
    </row>
    <row r="389" customFormat="false" ht="15" hidden="false" customHeight="true" outlineLevel="0" collapsed="false">
      <c r="A389" s="13" t="s">
        <v>1145</v>
      </c>
      <c r="B389" s="13" t="s">
        <v>1146</v>
      </c>
      <c r="C389" s="13" t="s">
        <v>1147</v>
      </c>
      <c r="D389" s="13" t="s">
        <v>178</v>
      </c>
      <c r="E389" s="14" t="s">
        <v>277</v>
      </c>
      <c r="F389" s="14" t="n">
        <v>2</v>
      </c>
      <c r="G389" s="14" t="n">
        <v>2</v>
      </c>
      <c r="H389" s="14" t="n">
        <f aca="false">F389/G389</f>
        <v>1</v>
      </c>
      <c r="I389" s="14" t="n">
        <v>0</v>
      </c>
      <c r="J389" s="14" t="n">
        <v>1</v>
      </c>
      <c r="K389" s="14" t="n">
        <v>47.5</v>
      </c>
    </row>
    <row r="390" customFormat="false" ht="15" hidden="false" customHeight="true" outlineLevel="0" collapsed="false">
      <c r="A390" s="13" t="s">
        <v>1148</v>
      </c>
      <c r="B390" s="13" t="s">
        <v>1149</v>
      </c>
      <c r="C390" s="13" t="s">
        <v>764</v>
      </c>
      <c r="D390" s="13" t="s">
        <v>147</v>
      </c>
      <c r="E390" s="14" t="s">
        <v>277</v>
      </c>
      <c r="F390" s="14" t="n">
        <v>2</v>
      </c>
      <c r="G390" s="14" t="n">
        <v>2</v>
      </c>
      <c r="H390" s="14" t="n">
        <f aca="false">F390/G390</f>
        <v>1</v>
      </c>
      <c r="I390" s="14" t="n">
        <v>50</v>
      </c>
      <c r="J390" s="14" t="n">
        <v>1</v>
      </c>
      <c r="K390" s="14" t="n">
        <v>47.5</v>
      </c>
    </row>
    <row r="391" customFormat="false" ht="15" hidden="false" customHeight="true" outlineLevel="0" collapsed="false">
      <c r="A391" s="13" t="s">
        <v>1150</v>
      </c>
      <c r="B391" s="13" t="s">
        <v>1151</v>
      </c>
      <c r="C391" s="13" t="s">
        <v>1152</v>
      </c>
      <c r="D391" s="13" t="s">
        <v>178</v>
      </c>
      <c r="E391" s="14" t="s">
        <v>277</v>
      </c>
      <c r="F391" s="14" t="n">
        <v>2</v>
      </c>
      <c r="G391" s="14" t="n">
        <v>2</v>
      </c>
      <c r="H391" s="14" t="n">
        <f aca="false">F391/G391</f>
        <v>1</v>
      </c>
      <c r="I391" s="14" t="n">
        <v>0</v>
      </c>
      <c r="J391" s="14" t="n">
        <v>1</v>
      </c>
      <c r="K391" s="14" t="n">
        <v>47.5</v>
      </c>
    </row>
    <row r="392" customFormat="false" ht="15" hidden="false" customHeight="true" outlineLevel="0" collapsed="false">
      <c r="A392" s="13" t="s">
        <v>1153</v>
      </c>
      <c r="B392" s="13" t="s">
        <v>1154</v>
      </c>
      <c r="C392" s="13" t="s">
        <v>1155</v>
      </c>
      <c r="D392" s="13" t="s">
        <v>147</v>
      </c>
      <c r="E392" s="14" t="s">
        <v>277</v>
      </c>
      <c r="F392" s="14" t="n">
        <v>2</v>
      </c>
      <c r="G392" s="14" t="n">
        <v>2</v>
      </c>
      <c r="H392" s="14" t="n">
        <f aca="false">F392/G392</f>
        <v>1</v>
      </c>
      <c r="I392" s="14" t="n">
        <v>0</v>
      </c>
      <c r="J392" s="14" t="n">
        <v>1</v>
      </c>
      <c r="K392" s="14" t="n">
        <v>47.5</v>
      </c>
    </row>
    <row r="393" customFormat="false" ht="15" hidden="false" customHeight="true" outlineLevel="0" collapsed="false">
      <c r="A393" s="13" t="s">
        <v>1156</v>
      </c>
      <c r="B393" s="13" t="s">
        <v>1157</v>
      </c>
      <c r="C393" s="13" t="s">
        <v>1083</v>
      </c>
      <c r="D393" s="13" t="s">
        <v>147</v>
      </c>
      <c r="E393" s="14" t="s">
        <v>277</v>
      </c>
      <c r="F393" s="14" t="n">
        <v>2</v>
      </c>
      <c r="G393" s="14" t="n">
        <v>2</v>
      </c>
      <c r="H393" s="14" t="n">
        <f aca="false">F393/G393</f>
        <v>1</v>
      </c>
      <c r="I393" s="14" t="n">
        <v>100</v>
      </c>
      <c r="J393" s="14" t="n">
        <v>1</v>
      </c>
      <c r="K393" s="14" t="n">
        <v>47.5</v>
      </c>
    </row>
    <row r="394" customFormat="false" ht="15" hidden="false" customHeight="true" outlineLevel="0" collapsed="false">
      <c r="A394" s="13" t="s">
        <v>1158</v>
      </c>
      <c r="B394" s="13" t="s">
        <v>1159</v>
      </c>
      <c r="C394" s="13" t="s">
        <v>1160</v>
      </c>
      <c r="D394" s="13" t="s">
        <v>178</v>
      </c>
      <c r="E394" s="14" t="s">
        <v>277</v>
      </c>
      <c r="F394" s="14" t="n">
        <v>2</v>
      </c>
      <c r="G394" s="14" t="n">
        <v>2</v>
      </c>
      <c r="H394" s="14" t="n">
        <f aca="false">F394/G394</f>
        <v>1</v>
      </c>
      <c r="I394" s="14" t="n">
        <v>0</v>
      </c>
      <c r="J394" s="14" t="n">
        <v>1</v>
      </c>
      <c r="K394" s="14" t="n">
        <v>47.5</v>
      </c>
    </row>
    <row r="395" customFormat="false" ht="15" hidden="false" customHeight="true" outlineLevel="0" collapsed="false">
      <c r="A395" s="13" t="s">
        <v>1161</v>
      </c>
      <c r="B395" s="13" t="s">
        <v>1162</v>
      </c>
      <c r="C395" s="13" t="s">
        <v>1163</v>
      </c>
      <c r="D395" s="13" t="s">
        <v>147</v>
      </c>
      <c r="E395" s="14" t="s">
        <v>277</v>
      </c>
      <c r="F395" s="14" t="n">
        <v>2</v>
      </c>
      <c r="G395" s="14" t="n">
        <v>2</v>
      </c>
      <c r="H395" s="14" t="n">
        <f aca="false">F395/G395</f>
        <v>1</v>
      </c>
      <c r="I395" s="14" t="n">
        <v>50</v>
      </c>
      <c r="J395" s="14" t="n">
        <v>1</v>
      </c>
      <c r="K395" s="14" t="n">
        <v>47.5</v>
      </c>
    </row>
    <row r="396" customFormat="false" ht="15" hidden="false" customHeight="true" outlineLevel="0" collapsed="false">
      <c r="A396" s="13" t="s">
        <v>1164</v>
      </c>
      <c r="B396" s="13" t="s">
        <v>1165</v>
      </c>
      <c r="C396" s="13" t="s">
        <v>1009</v>
      </c>
      <c r="D396" s="13" t="s">
        <v>178</v>
      </c>
      <c r="E396" s="14" t="s">
        <v>277</v>
      </c>
      <c r="F396" s="14" t="n">
        <v>2</v>
      </c>
      <c r="G396" s="14" t="n">
        <v>2</v>
      </c>
      <c r="H396" s="14" t="n">
        <f aca="false">F396/G396</f>
        <v>1</v>
      </c>
      <c r="I396" s="14" t="n">
        <v>0</v>
      </c>
      <c r="J396" s="14" t="n">
        <v>0.8</v>
      </c>
      <c r="K396" s="14" t="n">
        <v>47.5</v>
      </c>
    </row>
    <row r="397" customFormat="false" ht="15" hidden="false" customHeight="true" outlineLevel="0" collapsed="false">
      <c r="A397" s="13" t="s">
        <v>1166</v>
      </c>
      <c r="B397" s="13" t="s">
        <v>1167</v>
      </c>
      <c r="C397" s="13" t="s">
        <v>1168</v>
      </c>
      <c r="D397" s="13" t="s">
        <v>178</v>
      </c>
      <c r="E397" s="14" t="s">
        <v>277</v>
      </c>
      <c r="F397" s="14" t="n">
        <v>2</v>
      </c>
      <c r="G397" s="14" t="n">
        <v>2</v>
      </c>
      <c r="H397" s="14" t="n">
        <f aca="false">F397/G397</f>
        <v>1</v>
      </c>
      <c r="I397" s="14" t="n">
        <v>100</v>
      </c>
      <c r="J397" s="14" t="n">
        <v>0.8</v>
      </c>
      <c r="K397" s="14" t="n">
        <v>47.5</v>
      </c>
    </row>
    <row r="398" customFormat="false" ht="15" hidden="false" customHeight="true" outlineLevel="0" collapsed="false">
      <c r="A398" s="13" t="s">
        <v>1169</v>
      </c>
      <c r="B398" s="13" t="s">
        <v>1170</v>
      </c>
      <c r="C398" s="13" t="s">
        <v>1171</v>
      </c>
      <c r="D398" s="13" t="s">
        <v>178</v>
      </c>
      <c r="E398" s="14" t="s">
        <v>277</v>
      </c>
      <c r="F398" s="14" t="n">
        <v>2</v>
      </c>
      <c r="G398" s="14" t="n">
        <v>2</v>
      </c>
      <c r="H398" s="14" t="n">
        <f aca="false">F398/G398</f>
        <v>1</v>
      </c>
      <c r="I398" s="14" t="n">
        <v>100</v>
      </c>
      <c r="J398" s="14" t="n">
        <v>0.7</v>
      </c>
      <c r="K398" s="14" t="n">
        <v>47.5</v>
      </c>
    </row>
    <row r="399" customFormat="false" ht="15" hidden="false" customHeight="true" outlineLevel="0" collapsed="false">
      <c r="A399" s="13" t="s">
        <v>1172</v>
      </c>
      <c r="B399" s="13" t="s">
        <v>1173</v>
      </c>
      <c r="C399" s="13" t="s">
        <v>1174</v>
      </c>
      <c r="D399" s="13" t="s">
        <v>178</v>
      </c>
      <c r="E399" s="14" t="s">
        <v>277</v>
      </c>
      <c r="F399" s="14" t="n">
        <v>2</v>
      </c>
      <c r="G399" s="14" t="n">
        <v>2</v>
      </c>
      <c r="H399" s="14" t="n">
        <f aca="false">F399/G399</f>
        <v>1</v>
      </c>
      <c r="I399" s="14" t="n">
        <v>0</v>
      </c>
      <c r="J399" s="14" t="n">
        <v>0.6</v>
      </c>
      <c r="K399" s="14" t="n">
        <v>47.5</v>
      </c>
    </row>
    <row r="400" customFormat="false" ht="15" hidden="false" customHeight="true" outlineLevel="0" collapsed="false">
      <c r="A400" s="13" t="s">
        <v>1175</v>
      </c>
      <c r="B400" s="13" t="s">
        <v>1176</v>
      </c>
      <c r="C400" s="13" t="s">
        <v>1177</v>
      </c>
      <c r="D400" s="13" t="s">
        <v>178</v>
      </c>
      <c r="E400" s="14" t="s">
        <v>277</v>
      </c>
      <c r="F400" s="14" t="n">
        <v>2</v>
      </c>
      <c r="G400" s="14" t="n">
        <v>2</v>
      </c>
      <c r="H400" s="14" t="n">
        <f aca="false">F400/G400</f>
        <v>1</v>
      </c>
      <c r="I400" s="14" t="n">
        <v>0</v>
      </c>
      <c r="J400" s="14" t="n">
        <v>0.6</v>
      </c>
      <c r="K400" s="14" t="n">
        <v>47.5</v>
      </c>
    </row>
    <row r="401" customFormat="false" ht="15" hidden="false" customHeight="true" outlineLevel="0" collapsed="false">
      <c r="A401" s="13" t="s">
        <v>1178</v>
      </c>
      <c r="B401" s="13" t="s">
        <v>1179</v>
      </c>
      <c r="C401" s="13" t="s">
        <v>1180</v>
      </c>
      <c r="D401" s="13" t="s">
        <v>178</v>
      </c>
      <c r="E401" s="14" t="s">
        <v>277</v>
      </c>
      <c r="F401" s="14" t="n">
        <v>2</v>
      </c>
      <c r="G401" s="14" t="n">
        <v>2</v>
      </c>
      <c r="H401" s="14" t="n">
        <f aca="false">F401/G401</f>
        <v>1</v>
      </c>
      <c r="I401" s="14" t="n">
        <v>100</v>
      </c>
      <c r="J401" s="14" t="n">
        <v>0.5</v>
      </c>
      <c r="K401" s="14" t="n">
        <v>47.5</v>
      </c>
    </row>
    <row r="402" customFormat="false" ht="15" hidden="false" customHeight="true" outlineLevel="0" collapsed="false">
      <c r="A402" s="13" t="s">
        <v>1181</v>
      </c>
      <c r="B402" s="13" t="s">
        <v>1182</v>
      </c>
      <c r="C402" s="13" t="s">
        <v>1183</v>
      </c>
      <c r="D402" s="13" t="s">
        <v>178</v>
      </c>
      <c r="E402" s="14" t="s">
        <v>277</v>
      </c>
      <c r="F402" s="14" t="n">
        <v>2</v>
      </c>
      <c r="G402" s="14" t="n">
        <v>2</v>
      </c>
      <c r="H402" s="14" t="n">
        <f aca="false">F402/G402</f>
        <v>1</v>
      </c>
      <c r="I402" s="14" t="n">
        <v>0</v>
      </c>
      <c r="J402" s="14" t="n">
        <v>0.5</v>
      </c>
      <c r="K402" s="14" t="n">
        <v>47.5</v>
      </c>
    </row>
    <row r="403" customFormat="false" ht="15" hidden="false" customHeight="true" outlineLevel="0" collapsed="false">
      <c r="A403" s="13" t="s">
        <v>1184</v>
      </c>
      <c r="B403" s="13" t="s">
        <v>1185</v>
      </c>
      <c r="C403" s="13" t="s">
        <v>1186</v>
      </c>
      <c r="D403" s="13" t="s">
        <v>178</v>
      </c>
      <c r="E403" s="14" t="s">
        <v>277</v>
      </c>
      <c r="F403" s="14" t="n">
        <v>2</v>
      </c>
      <c r="G403" s="14" t="n">
        <v>2</v>
      </c>
      <c r="H403" s="14" t="n">
        <f aca="false">F403/G403</f>
        <v>1</v>
      </c>
      <c r="I403" s="14" t="s">
        <v>1187</v>
      </c>
      <c r="J403" s="14" t="n">
        <v>0.2</v>
      </c>
      <c r="K403" s="14" t="n">
        <v>47.5</v>
      </c>
    </row>
    <row r="404" customFormat="false" ht="15" hidden="false" customHeight="true" outlineLevel="0" collapsed="false">
      <c r="A404" s="13" t="s">
        <v>1188</v>
      </c>
      <c r="B404" s="13" t="s">
        <v>1189</v>
      </c>
      <c r="C404" s="13"/>
      <c r="D404" s="13"/>
      <c r="E404" s="14" t="s">
        <v>277</v>
      </c>
      <c r="F404" s="14" t="n">
        <v>1</v>
      </c>
      <c r="G404" s="14" t="n">
        <v>2</v>
      </c>
      <c r="H404" s="14" t="n">
        <f aca="false">F404/G404</f>
        <v>0.5</v>
      </c>
      <c r="I404" s="14" t="n">
        <v>37.3</v>
      </c>
      <c r="J404" s="14" t="n">
        <v>300</v>
      </c>
      <c r="K404" s="14" t="n">
        <v>47.5</v>
      </c>
    </row>
    <row r="405" customFormat="false" ht="15" hidden="false" customHeight="true" outlineLevel="0" collapsed="false">
      <c r="A405" s="13" t="s">
        <v>1190</v>
      </c>
      <c r="B405" s="13" t="s">
        <v>1191</v>
      </c>
      <c r="C405" s="13" t="s">
        <v>1192</v>
      </c>
      <c r="D405" s="13" t="s">
        <v>77</v>
      </c>
      <c r="E405" s="14" t="s">
        <v>277</v>
      </c>
      <c r="F405" s="14" t="n">
        <v>1</v>
      </c>
      <c r="G405" s="14" t="n">
        <v>2</v>
      </c>
      <c r="H405" s="14" t="n">
        <f aca="false">F405/G405</f>
        <v>0.5</v>
      </c>
      <c r="I405" s="14" t="n">
        <v>35.6</v>
      </c>
      <c r="J405" s="14" t="n">
        <v>73</v>
      </c>
      <c r="K405" s="14" t="n">
        <v>47.5</v>
      </c>
    </row>
    <row r="406" customFormat="false" ht="15" hidden="false" customHeight="true" outlineLevel="0" collapsed="false">
      <c r="A406" s="13" t="s">
        <v>1193</v>
      </c>
      <c r="B406" s="13" t="s">
        <v>1194</v>
      </c>
      <c r="C406" s="13" t="s">
        <v>1195</v>
      </c>
      <c r="D406" s="13" t="s">
        <v>178</v>
      </c>
      <c r="E406" s="14" t="s">
        <v>277</v>
      </c>
      <c r="F406" s="14" t="n">
        <v>1</v>
      </c>
      <c r="G406" s="14" t="n">
        <v>2</v>
      </c>
      <c r="H406" s="14" t="n">
        <f aca="false">F406/G406</f>
        <v>0.5</v>
      </c>
      <c r="I406" s="14" t="n">
        <v>36</v>
      </c>
      <c r="J406" s="14" t="n">
        <v>25</v>
      </c>
      <c r="K406" s="14" t="n">
        <v>47.5</v>
      </c>
    </row>
    <row r="407" customFormat="false" ht="15" hidden="false" customHeight="true" outlineLevel="0" collapsed="false">
      <c r="A407" s="13" t="s">
        <v>1196</v>
      </c>
      <c r="B407" s="13" t="s">
        <v>1197</v>
      </c>
      <c r="C407" s="13" t="s">
        <v>1198</v>
      </c>
      <c r="D407" s="13" t="s">
        <v>77</v>
      </c>
      <c r="E407" s="14" t="s">
        <v>277</v>
      </c>
      <c r="F407" s="14" t="n">
        <v>1</v>
      </c>
      <c r="G407" s="14" t="n">
        <v>2</v>
      </c>
      <c r="H407" s="14" t="n">
        <f aca="false">F407/G407</f>
        <v>0.5</v>
      </c>
      <c r="I407" s="14" t="n">
        <v>33.3</v>
      </c>
      <c r="J407" s="14" t="n">
        <v>21</v>
      </c>
      <c r="K407" s="14" t="n">
        <v>47.5</v>
      </c>
    </row>
    <row r="408" customFormat="false" ht="15" hidden="false" customHeight="true" outlineLevel="0" collapsed="false">
      <c r="A408" s="13" t="s">
        <v>1199</v>
      </c>
      <c r="B408" s="13" t="s">
        <v>1200</v>
      </c>
      <c r="C408" s="13" t="s">
        <v>1201</v>
      </c>
      <c r="D408" s="13" t="s">
        <v>77</v>
      </c>
      <c r="E408" s="14" t="s">
        <v>277</v>
      </c>
      <c r="F408" s="14" t="n">
        <v>1</v>
      </c>
      <c r="G408" s="14" t="n">
        <v>2</v>
      </c>
      <c r="H408" s="14" t="n">
        <f aca="false">F408/G408</f>
        <v>0.5</v>
      </c>
      <c r="I408" s="14" t="n">
        <v>33.3</v>
      </c>
      <c r="J408" s="14" t="n">
        <v>15</v>
      </c>
      <c r="K408" s="14" t="n">
        <v>47.5</v>
      </c>
    </row>
    <row r="409" customFormat="false" ht="15" hidden="false" customHeight="true" outlineLevel="0" collapsed="false">
      <c r="A409" s="13" t="s">
        <v>1202</v>
      </c>
      <c r="B409" s="13" t="s">
        <v>1203</v>
      </c>
      <c r="C409" s="13" t="s">
        <v>1204</v>
      </c>
      <c r="D409" s="13" t="s">
        <v>147</v>
      </c>
      <c r="E409" s="14" t="s">
        <v>277</v>
      </c>
      <c r="F409" s="14" t="n">
        <v>1</v>
      </c>
      <c r="G409" s="14" t="n">
        <v>2</v>
      </c>
      <c r="H409" s="14" t="n">
        <f aca="false">F409/G409</f>
        <v>0.5</v>
      </c>
      <c r="I409" s="14" t="n">
        <v>50</v>
      </c>
      <c r="J409" s="14" t="n">
        <v>10</v>
      </c>
      <c r="K409" s="14" t="n">
        <v>47.5</v>
      </c>
    </row>
    <row r="410" customFormat="false" ht="15" hidden="false" customHeight="true" outlineLevel="0" collapsed="false">
      <c r="A410" s="13" t="s">
        <v>1205</v>
      </c>
      <c r="B410" s="13" t="s">
        <v>1206</v>
      </c>
      <c r="C410" s="13" t="s">
        <v>1207</v>
      </c>
      <c r="D410" s="13" t="s">
        <v>77</v>
      </c>
      <c r="E410" s="14" t="s">
        <v>277</v>
      </c>
      <c r="F410" s="14" t="n">
        <v>1</v>
      </c>
      <c r="G410" s="14" t="n">
        <v>2</v>
      </c>
      <c r="H410" s="14" t="n">
        <f aca="false">F410/G410</f>
        <v>0.5</v>
      </c>
      <c r="I410" s="14" t="n">
        <v>88.9</v>
      </c>
      <c r="J410" s="14" t="n">
        <v>9</v>
      </c>
      <c r="K410" s="14" t="n">
        <v>47.5</v>
      </c>
    </row>
    <row r="411" customFormat="false" ht="15" hidden="false" customHeight="true" outlineLevel="0" collapsed="false">
      <c r="A411" s="13" t="s">
        <v>1208</v>
      </c>
      <c r="B411" s="13" t="s">
        <v>1209</v>
      </c>
      <c r="C411" s="13" t="s">
        <v>1210</v>
      </c>
      <c r="D411" s="13" t="s">
        <v>178</v>
      </c>
      <c r="E411" s="14" t="s">
        <v>277</v>
      </c>
      <c r="F411" s="14" t="n">
        <v>1</v>
      </c>
      <c r="G411" s="14" t="n">
        <v>2</v>
      </c>
      <c r="H411" s="14" t="n">
        <f aca="false">F411/G411</f>
        <v>0.5</v>
      </c>
      <c r="I411" s="14" t="n">
        <v>16.7</v>
      </c>
      <c r="J411" s="14" t="n">
        <v>6</v>
      </c>
      <c r="K411" s="14" t="n">
        <v>47.5</v>
      </c>
    </row>
    <row r="412" customFormat="false" ht="15" hidden="false" customHeight="true" outlineLevel="0" collapsed="false">
      <c r="A412" s="13" t="s">
        <v>1211</v>
      </c>
      <c r="B412" s="13" t="s">
        <v>1212</v>
      </c>
      <c r="C412" s="13" t="s">
        <v>1213</v>
      </c>
      <c r="D412" s="13" t="s">
        <v>77</v>
      </c>
      <c r="E412" s="14" t="s">
        <v>277</v>
      </c>
      <c r="F412" s="14" t="n">
        <v>1</v>
      </c>
      <c r="G412" s="14" t="n">
        <v>2</v>
      </c>
      <c r="H412" s="14" t="n">
        <f aca="false">F412/G412</f>
        <v>0.5</v>
      </c>
      <c r="I412" s="14" t="n">
        <v>60</v>
      </c>
      <c r="J412" s="14" t="n">
        <v>5</v>
      </c>
      <c r="K412" s="14" t="n">
        <v>47.5</v>
      </c>
    </row>
    <row r="413" customFormat="false" ht="15" hidden="false" customHeight="true" outlineLevel="0" collapsed="false">
      <c r="A413" s="13" t="s">
        <v>1214</v>
      </c>
      <c r="B413" s="13" t="s">
        <v>1215</v>
      </c>
      <c r="C413" s="13" t="s">
        <v>1216</v>
      </c>
      <c r="D413" s="13" t="s">
        <v>178</v>
      </c>
      <c r="E413" s="14" t="s">
        <v>277</v>
      </c>
      <c r="F413" s="14" t="n">
        <v>1</v>
      </c>
      <c r="G413" s="14" t="n">
        <v>2</v>
      </c>
      <c r="H413" s="14" t="n">
        <f aca="false">F413/G413</f>
        <v>0.5</v>
      </c>
      <c r="I413" s="14" t="n">
        <v>0</v>
      </c>
      <c r="J413" s="14" t="n">
        <v>5</v>
      </c>
      <c r="K413" s="14" t="n">
        <v>47.5</v>
      </c>
    </row>
    <row r="414" customFormat="false" ht="15" hidden="false" customHeight="true" outlineLevel="0" collapsed="false">
      <c r="A414" s="13" t="s">
        <v>1217</v>
      </c>
      <c r="B414" s="13" t="s">
        <v>1218</v>
      </c>
      <c r="C414" s="13" t="s">
        <v>843</v>
      </c>
      <c r="D414" s="13" t="s">
        <v>178</v>
      </c>
      <c r="E414" s="14" t="s">
        <v>277</v>
      </c>
      <c r="F414" s="14" t="n">
        <v>1</v>
      </c>
      <c r="G414" s="14" t="n">
        <v>2</v>
      </c>
      <c r="H414" s="14" t="n">
        <f aca="false">F414/G414</f>
        <v>0.5</v>
      </c>
      <c r="I414" s="14" t="n">
        <v>50</v>
      </c>
      <c r="J414" s="14" t="n">
        <v>4.5</v>
      </c>
      <c r="K414" s="14" t="n">
        <v>47.5</v>
      </c>
    </row>
    <row r="415" customFormat="false" ht="15" hidden="false" customHeight="true" outlineLevel="0" collapsed="false">
      <c r="A415" s="13" t="s">
        <v>1219</v>
      </c>
      <c r="B415" s="13" t="s">
        <v>1220</v>
      </c>
      <c r="C415" s="13" t="s">
        <v>1221</v>
      </c>
      <c r="D415" s="13" t="s">
        <v>178</v>
      </c>
      <c r="E415" s="14" t="s">
        <v>277</v>
      </c>
      <c r="F415" s="14" t="n">
        <v>1</v>
      </c>
      <c r="G415" s="14" t="n">
        <v>2</v>
      </c>
      <c r="H415" s="14" t="n">
        <f aca="false">F415/G415</f>
        <v>0.5</v>
      </c>
      <c r="I415" s="14" t="n">
        <v>75</v>
      </c>
      <c r="J415" s="14" t="n">
        <v>4.5</v>
      </c>
      <c r="K415" s="14" t="n">
        <v>47.5</v>
      </c>
    </row>
    <row r="416" customFormat="false" ht="15" hidden="false" customHeight="true" outlineLevel="0" collapsed="false">
      <c r="A416" s="13" t="s">
        <v>1222</v>
      </c>
      <c r="B416" s="13" t="s">
        <v>1223</v>
      </c>
      <c r="C416" s="13" t="s">
        <v>1224</v>
      </c>
      <c r="D416" s="13" t="s">
        <v>178</v>
      </c>
      <c r="E416" s="14" t="s">
        <v>277</v>
      </c>
      <c r="F416" s="14" t="n">
        <v>1</v>
      </c>
      <c r="G416" s="14" t="n">
        <v>2</v>
      </c>
      <c r="H416" s="14" t="n">
        <f aca="false">F416/G416</f>
        <v>0.5</v>
      </c>
      <c r="I416" s="14" t="n">
        <v>50</v>
      </c>
      <c r="J416" s="14" t="n">
        <v>4.2</v>
      </c>
      <c r="K416" s="14" t="n">
        <v>47.5</v>
      </c>
    </row>
    <row r="417" customFormat="false" ht="15" hidden="false" customHeight="true" outlineLevel="0" collapsed="false">
      <c r="A417" s="13" t="s">
        <v>1225</v>
      </c>
      <c r="B417" s="13" t="s">
        <v>1226</v>
      </c>
      <c r="C417" s="13" t="s">
        <v>1227</v>
      </c>
      <c r="D417" s="13" t="s">
        <v>147</v>
      </c>
      <c r="E417" s="14" t="s">
        <v>277</v>
      </c>
      <c r="F417" s="14" t="n">
        <v>1</v>
      </c>
      <c r="G417" s="14" t="n">
        <v>2</v>
      </c>
      <c r="H417" s="14" t="n">
        <f aca="false">F417/G417</f>
        <v>0.5</v>
      </c>
      <c r="I417" s="14" t="n">
        <v>25</v>
      </c>
      <c r="J417" s="14" t="n">
        <v>4</v>
      </c>
      <c r="K417" s="14" t="n">
        <v>47.5</v>
      </c>
    </row>
    <row r="418" customFormat="false" ht="15" hidden="false" customHeight="true" outlineLevel="0" collapsed="false">
      <c r="A418" s="13" t="s">
        <v>1228</v>
      </c>
      <c r="B418" s="13" t="s">
        <v>1229</v>
      </c>
      <c r="C418" s="13" t="s">
        <v>1230</v>
      </c>
      <c r="D418" s="13" t="s">
        <v>147</v>
      </c>
      <c r="E418" s="14" t="s">
        <v>277</v>
      </c>
      <c r="F418" s="14" t="n">
        <v>1</v>
      </c>
      <c r="G418" s="14" t="n">
        <v>2</v>
      </c>
      <c r="H418" s="14" t="n">
        <f aca="false">F418/G418</f>
        <v>0.5</v>
      </c>
      <c r="I418" s="14" t="n">
        <v>50</v>
      </c>
      <c r="J418" s="14" t="n">
        <v>4</v>
      </c>
      <c r="K418" s="14" t="n">
        <v>47.5</v>
      </c>
    </row>
    <row r="419" customFormat="false" ht="15" hidden="false" customHeight="true" outlineLevel="0" collapsed="false">
      <c r="A419" s="13" t="s">
        <v>1231</v>
      </c>
      <c r="B419" s="13" t="s">
        <v>1232</v>
      </c>
      <c r="C419" s="13" t="s">
        <v>1233</v>
      </c>
      <c r="D419" s="13" t="s">
        <v>147</v>
      </c>
      <c r="E419" s="14" t="s">
        <v>277</v>
      </c>
      <c r="F419" s="14" t="n">
        <v>1</v>
      </c>
      <c r="G419" s="14" t="n">
        <v>2</v>
      </c>
      <c r="H419" s="14" t="n">
        <f aca="false">F419/G419</f>
        <v>0.5</v>
      </c>
      <c r="I419" s="14" t="n">
        <v>33.3</v>
      </c>
      <c r="J419" s="14" t="n">
        <v>1.5</v>
      </c>
      <c r="K419" s="14" t="n">
        <v>47.5</v>
      </c>
    </row>
    <row r="420" customFormat="false" ht="15" hidden="false" customHeight="true" outlineLevel="0" collapsed="false">
      <c r="A420" s="13" t="s">
        <v>1234</v>
      </c>
      <c r="B420" s="13" t="s">
        <v>1235</v>
      </c>
      <c r="C420" s="13" t="s">
        <v>922</v>
      </c>
      <c r="D420" s="13" t="s">
        <v>178</v>
      </c>
      <c r="E420" s="14" t="s">
        <v>277</v>
      </c>
      <c r="F420" s="14" t="n">
        <v>1</v>
      </c>
      <c r="G420" s="14" t="n">
        <v>2</v>
      </c>
      <c r="H420" s="14" t="n">
        <f aca="false">F420/G420</f>
        <v>0.5</v>
      </c>
      <c r="I420" s="14" t="n">
        <v>50</v>
      </c>
      <c r="J420" s="14" t="n">
        <v>2.5</v>
      </c>
      <c r="K420" s="14" t="n">
        <v>47.5</v>
      </c>
    </row>
    <row r="421" customFormat="false" ht="15" hidden="false" customHeight="true" outlineLevel="0" collapsed="false">
      <c r="A421" s="13" t="s">
        <v>1236</v>
      </c>
      <c r="B421" s="13" t="s">
        <v>1237</v>
      </c>
      <c r="C421" s="13" t="s">
        <v>1238</v>
      </c>
      <c r="D421" s="13" t="s">
        <v>178</v>
      </c>
      <c r="E421" s="14" t="s">
        <v>277</v>
      </c>
      <c r="F421" s="14" t="n">
        <v>1</v>
      </c>
      <c r="G421" s="14" t="n">
        <v>2</v>
      </c>
      <c r="H421" s="14" t="n">
        <f aca="false">F421/G421</f>
        <v>0.5</v>
      </c>
      <c r="I421" s="14" t="n">
        <v>0</v>
      </c>
      <c r="J421" s="14" t="n">
        <v>2</v>
      </c>
      <c r="K421" s="14" t="n">
        <v>47.5</v>
      </c>
    </row>
    <row r="422" customFormat="false" ht="15" hidden="false" customHeight="true" outlineLevel="0" collapsed="false">
      <c r="A422" s="13" t="s">
        <v>1239</v>
      </c>
      <c r="B422" s="13" t="s">
        <v>1240</v>
      </c>
      <c r="C422" s="13" t="s">
        <v>1241</v>
      </c>
      <c r="D422" s="13" t="s">
        <v>178</v>
      </c>
      <c r="E422" s="14" t="s">
        <v>277</v>
      </c>
      <c r="F422" s="14" t="n">
        <v>1</v>
      </c>
      <c r="G422" s="14" t="n">
        <v>2</v>
      </c>
      <c r="H422" s="14" t="n">
        <f aca="false">F422/G422</f>
        <v>0.5</v>
      </c>
      <c r="I422" s="14" t="n">
        <v>50</v>
      </c>
      <c r="J422" s="14" t="n">
        <v>2</v>
      </c>
      <c r="K422" s="14" t="n">
        <v>47.5</v>
      </c>
    </row>
    <row r="423" customFormat="false" ht="15" hidden="false" customHeight="true" outlineLevel="0" collapsed="false">
      <c r="A423" s="13" t="s">
        <v>1242</v>
      </c>
      <c r="B423" s="13" t="s">
        <v>1243</v>
      </c>
      <c r="C423" s="13" t="s">
        <v>1244</v>
      </c>
      <c r="D423" s="13" t="s">
        <v>178</v>
      </c>
      <c r="E423" s="14" t="s">
        <v>277</v>
      </c>
      <c r="F423" s="14" t="n">
        <v>1</v>
      </c>
      <c r="G423" s="14" t="n">
        <v>2</v>
      </c>
      <c r="H423" s="14" t="n">
        <f aca="false">F423/G423</f>
        <v>0.5</v>
      </c>
      <c r="I423" s="14" t="n">
        <v>0</v>
      </c>
      <c r="J423" s="14" t="n">
        <v>2</v>
      </c>
      <c r="K423" s="14" t="n">
        <v>47.5</v>
      </c>
    </row>
    <row r="424" customFormat="false" ht="15" hidden="false" customHeight="true" outlineLevel="0" collapsed="false">
      <c r="A424" s="13" t="s">
        <v>1245</v>
      </c>
      <c r="B424" s="13" t="s">
        <v>1246</v>
      </c>
      <c r="C424" s="13" t="s">
        <v>318</v>
      </c>
      <c r="D424" s="13" t="s">
        <v>147</v>
      </c>
      <c r="E424" s="14" t="s">
        <v>277</v>
      </c>
      <c r="F424" s="14" t="n">
        <v>1</v>
      </c>
      <c r="G424" s="14" t="n">
        <v>2</v>
      </c>
      <c r="H424" s="14" t="n">
        <f aca="false">F424/G424</f>
        <v>0.5</v>
      </c>
      <c r="I424" s="14" t="n">
        <v>100</v>
      </c>
      <c r="J424" s="14" t="n">
        <v>2</v>
      </c>
      <c r="K424" s="14" t="n">
        <v>47.5</v>
      </c>
    </row>
    <row r="425" customFormat="false" ht="15" hidden="false" customHeight="true" outlineLevel="0" collapsed="false">
      <c r="A425" s="13" t="s">
        <v>1247</v>
      </c>
      <c r="B425" s="13" t="s">
        <v>1248</v>
      </c>
      <c r="C425" s="13" t="s">
        <v>618</v>
      </c>
      <c r="D425" s="13" t="s">
        <v>147</v>
      </c>
      <c r="E425" s="14" t="s">
        <v>277</v>
      </c>
      <c r="F425" s="14" t="n">
        <v>1</v>
      </c>
      <c r="G425" s="14" t="n">
        <v>2</v>
      </c>
      <c r="H425" s="14" t="n">
        <f aca="false">F425/G425</f>
        <v>0.5</v>
      </c>
      <c r="I425" s="14" t="n">
        <v>50</v>
      </c>
      <c r="J425" s="14" t="n">
        <v>2</v>
      </c>
      <c r="K425" s="14" t="n">
        <v>47.5</v>
      </c>
    </row>
    <row r="426" customFormat="false" ht="15" hidden="false" customHeight="true" outlineLevel="0" collapsed="false">
      <c r="A426" s="13" t="s">
        <v>1249</v>
      </c>
      <c r="B426" s="13" t="s">
        <v>1250</v>
      </c>
      <c r="C426" s="13" t="s">
        <v>1251</v>
      </c>
      <c r="D426" s="13" t="s">
        <v>147</v>
      </c>
      <c r="E426" s="14" t="s">
        <v>277</v>
      </c>
      <c r="F426" s="14" t="n">
        <v>1</v>
      </c>
      <c r="G426" s="14" t="n">
        <v>2</v>
      </c>
      <c r="H426" s="14" t="n">
        <f aca="false">F426/G426</f>
        <v>0.5</v>
      </c>
      <c r="I426" s="14" t="n">
        <v>50</v>
      </c>
      <c r="J426" s="14" t="n">
        <v>2</v>
      </c>
      <c r="K426" s="14" t="n">
        <v>47.5</v>
      </c>
    </row>
    <row r="427" customFormat="false" ht="15" hidden="false" customHeight="true" outlineLevel="0" collapsed="false">
      <c r="A427" s="13" t="s">
        <v>1252</v>
      </c>
      <c r="B427" s="13" t="s">
        <v>1253</v>
      </c>
      <c r="C427" s="13" t="s">
        <v>1254</v>
      </c>
      <c r="D427" s="13" t="s">
        <v>147</v>
      </c>
      <c r="E427" s="14" t="s">
        <v>277</v>
      </c>
      <c r="F427" s="14" t="n">
        <v>1</v>
      </c>
      <c r="G427" s="14" t="n">
        <v>2</v>
      </c>
      <c r="H427" s="14" t="n">
        <f aca="false">F427/G427</f>
        <v>0.5</v>
      </c>
      <c r="I427" s="14" t="n">
        <v>50</v>
      </c>
      <c r="J427" s="14" t="n">
        <v>2</v>
      </c>
      <c r="K427" s="14" t="n">
        <v>47.5</v>
      </c>
    </row>
    <row r="428" customFormat="false" ht="15" hidden="false" customHeight="true" outlineLevel="0" collapsed="false">
      <c r="A428" s="13" t="s">
        <v>1255</v>
      </c>
      <c r="B428" s="13" t="s">
        <v>1256</v>
      </c>
      <c r="C428" s="13" t="s">
        <v>1257</v>
      </c>
      <c r="D428" s="13" t="s">
        <v>178</v>
      </c>
      <c r="E428" s="14" t="s">
        <v>277</v>
      </c>
      <c r="F428" s="14" t="n">
        <v>1</v>
      </c>
      <c r="G428" s="14" t="n">
        <v>2</v>
      </c>
      <c r="H428" s="14" t="n">
        <f aca="false">F428/G428</f>
        <v>0.5</v>
      </c>
      <c r="I428" s="14" t="n">
        <v>100</v>
      </c>
      <c r="J428" s="14" t="n">
        <v>1.5</v>
      </c>
      <c r="K428" s="14" t="n">
        <v>47.5</v>
      </c>
    </row>
    <row r="429" customFormat="false" ht="15" hidden="false" customHeight="true" outlineLevel="0" collapsed="false">
      <c r="A429" s="13" t="s">
        <v>1258</v>
      </c>
      <c r="B429" s="13" t="s">
        <v>1259</v>
      </c>
      <c r="C429" s="13" t="s">
        <v>675</v>
      </c>
      <c r="D429" s="13" t="s">
        <v>147</v>
      </c>
      <c r="E429" s="14" t="s">
        <v>277</v>
      </c>
      <c r="F429" s="14" t="n">
        <v>1</v>
      </c>
      <c r="G429" s="14" t="n">
        <v>2</v>
      </c>
      <c r="H429" s="14" t="n">
        <f aca="false">F429/G429</f>
        <v>0.5</v>
      </c>
      <c r="I429" s="14" t="n">
        <v>100</v>
      </c>
      <c r="J429" s="14" t="n">
        <v>1</v>
      </c>
      <c r="K429" s="14" t="n">
        <v>47.5</v>
      </c>
    </row>
    <row r="430" customFormat="false" ht="15" hidden="false" customHeight="true" outlineLevel="0" collapsed="false">
      <c r="A430" s="13" t="s">
        <v>1260</v>
      </c>
      <c r="B430" s="13" t="s">
        <v>1261</v>
      </c>
      <c r="C430" s="13" t="s">
        <v>1262</v>
      </c>
      <c r="D430" s="13" t="s">
        <v>178</v>
      </c>
      <c r="E430" s="14" t="s">
        <v>277</v>
      </c>
      <c r="F430" s="14" t="n">
        <v>1</v>
      </c>
      <c r="G430" s="14" t="n">
        <v>2</v>
      </c>
      <c r="H430" s="14" t="n">
        <f aca="false">F430/G430</f>
        <v>0.5</v>
      </c>
      <c r="I430" s="14" t="n">
        <v>0</v>
      </c>
      <c r="J430" s="14" t="n">
        <v>1</v>
      </c>
      <c r="K430" s="14" t="n">
        <v>47.5</v>
      </c>
    </row>
    <row r="431" customFormat="false" ht="15" hidden="false" customHeight="true" outlineLevel="0" collapsed="false">
      <c r="A431" s="13" t="s">
        <v>1263</v>
      </c>
      <c r="B431" s="13" t="s">
        <v>1264</v>
      </c>
      <c r="C431" s="13" t="s">
        <v>1265</v>
      </c>
      <c r="D431" s="13" t="s">
        <v>178</v>
      </c>
      <c r="E431" s="14" t="s">
        <v>277</v>
      </c>
      <c r="F431" s="14" t="n">
        <v>1</v>
      </c>
      <c r="G431" s="14" t="n">
        <v>2</v>
      </c>
      <c r="H431" s="14" t="n">
        <f aca="false">F431/G431</f>
        <v>0.5</v>
      </c>
      <c r="I431" s="14" t="n">
        <v>0</v>
      </c>
      <c r="J431" s="14" t="n">
        <v>1</v>
      </c>
      <c r="K431" s="14" t="n">
        <v>47.5</v>
      </c>
    </row>
    <row r="432" customFormat="false" ht="15" hidden="false" customHeight="true" outlineLevel="0" collapsed="false">
      <c r="A432" s="13" t="s">
        <v>1266</v>
      </c>
      <c r="B432" s="13" t="s">
        <v>1267</v>
      </c>
      <c r="C432" s="13" t="s">
        <v>1268</v>
      </c>
      <c r="D432" s="13" t="s">
        <v>178</v>
      </c>
      <c r="E432" s="14" t="s">
        <v>277</v>
      </c>
      <c r="F432" s="14" t="n">
        <v>1</v>
      </c>
      <c r="G432" s="14" t="n">
        <v>2</v>
      </c>
      <c r="H432" s="14" t="n">
        <f aca="false">F432/G432</f>
        <v>0.5</v>
      </c>
      <c r="I432" s="14" t="n">
        <v>0</v>
      </c>
      <c r="J432" s="14" t="n">
        <v>1</v>
      </c>
      <c r="K432" s="14" t="n">
        <v>47.5</v>
      </c>
    </row>
    <row r="433" customFormat="false" ht="15" hidden="false" customHeight="true" outlineLevel="0" collapsed="false">
      <c r="A433" s="13" t="s">
        <v>1269</v>
      </c>
      <c r="B433" s="13" t="s">
        <v>1270</v>
      </c>
      <c r="C433" s="13" t="s">
        <v>1271</v>
      </c>
      <c r="D433" s="13" t="s">
        <v>77</v>
      </c>
      <c r="E433" s="14" t="s">
        <v>277</v>
      </c>
      <c r="F433" s="14" t="n">
        <v>1</v>
      </c>
      <c r="G433" s="14" t="n">
        <v>2</v>
      </c>
      <c r="H433" s="14" t="n">
        <f aca="false">F433/G433</f>
        <v>0.5</v>
      </c>
      <c r="I433" s="14" t="n">
        <v>100</v>
      </c>
      <c r="J433" s="14" t="n">
        <v>1</v>
      </c>
      <c r="K433" s="14" t="n">
        <v>47.5</v>
      </c>
    </row>
    <row r="434" customFormat="false" ht="15" hidden="false" customHeight="true" outlineLevel="0" collapsed="false">
      <c r="A434" s="13" t="s">
        <v>1272</v>
      </c>
      <c r="B434" s="13" t="s">
        <v>1273</v>
      </c>
      <c r="C434" s="13" t="s">
        <v>675</v>
      </c>
      <c r="D434" s="13" t="s">
        <v>147</v>
      </c>
      <c r="E434" s="14" t="s">
        <v>277</v>
      </c>
      <c r="F434" s="14" t="n">
        <v>1</v>
      </c>
      <c r="G434" s="14" t="n">
        <v>2</v>
      </c>
      <c r="H434" s="14" t="n">
        <f aca="false">F434/G434</f>
        <v>0.5</v>
      </c>
      <c r="I434" s="14" t="n">
        <v>100</v>
      </c>
      <c r="J434" s="14" t="n">
        <v>1</v>
      </c>
      <c r="K434" s="14" t="n">
        <v>47.5</v>
      </c>
    </row>
    <row r="435" customFormat="false" ht="15" hidden="false" customHeight="true" outlineLevel="0" collapsed="false">
      <c r="A435" s="13" t="s">
        <v>1274</v>
      </c>
      <c r="B435" s="13" t="s">
        <v>1275</v>
      </c>
      <c r="C435" s="13" t="s">
        <v>1276</v>
      </c>
      <c r="D435" s="13" t="s">
        <v>147</v>
      </c>
      <c r="E435" s="14" t="s">
        <v>277</v>
      </c>
      <c r="F435" s="14" t="n">
        <v>1</v>
      </c>
      <c r="G435" s="14" t="n">
        <v>2</v>
      </c>
      <c r="H435" s="14" t="n">
        <f aca="false">F435/G435</f>
        <v>0.5</v>
      </c>
      <c r="I435" s="14" t="n">
        <v>0</v>
      </c>
      <c r="J435" s="14" t="n">
        <v>1</v>
      </c>
      <c r="K435" s="14" t="n">
        <v>47.5</v>
      </c>
    </row>
    <row r="436" customFormat="false" ht="15" hidden="false" customHeight="true" outlineLevel="0" collapsed="false">
      <c r="A436" s="13" t="s">
        <v>1277</v>
      </c>
      <c r="B436" s="13" t="s">
        <v>1278</v>
      </c>
      <c r="C436" s="13" t="s">
        <v>1279</v>
      </c>
      <c r="D436" s="13" t="s">
        <v>178</v>
      </c>
      <c r="E436" s="14" t="s">
        <v>277</v>
      </c>
      <c r="F436" s="14" t="n">
        <v>1</v>
      </c>
      <c r="G436" s="14" t="n">
        <v>2</v>
      </c>
      <c r="H436" s="14" t="n">
        <f aca="false">F436/G436</f>
        <v>0.5</v>
      </c>
      <c r="I436" s="14" t="n">
        <v>0</v>
      </c>
      <c r="J436" s="14" t="n">
        <v>1</v>
      </c>
      <c r="K436" s="14" t="n">
        <v>47.5</v>
      </c>
    </row>
    <row r="437" customFormat="false" ht="15" hidden="false" customHeight="true" outlineLevel="0" collapsed="false">
      <c r="A437" s="13" t="s">
        <v>1280</v>
      </c>
      <c r="B437" s="13" t="s">
        <v>1281</v>
      </c>
      <c r="C437" s="13" t="s">
        <v>1282</v>
      </c>
      <c r="D437" s="13" t="s">
        <v>178</v>
      </c>
      <c r="E437" s="14" t="s">
        <v>277</v>
      </c>
      <c r="F437" s="14" t="n">
        <v>1</v>
      </c>
      <c r="G437" s="14" t="n">
        <v>2</v>
      </c>
      <c r="H437" s="14" t="n">
        <f aca="false">F437/G437</f>
        <v>0.5</v>
      </c>
      <c r="I437" s="14" t="n">
        <v>0</v>
      </c>
      <c r="J437" s="14" t="n">
        <v>1</v>
      </c>
      <c r="K437" s="14" t="n">
        <v>47.5</v>
      </c>
    </row>
    <row r="438" customFormat="false" ht="15" hidden="false" customHeight="true" outlineLevel="0" collapsed="false">
      <c r="A438" s="13" t="s">
        <v>1283</v>
      </c>
      <c r="B438" s="13" t="s">
        <v>1284</v>
      </c>
      <c r="C438" s="13" t="s">
        <v>432</v>
      </c>
      <c r="D438" s="13" t="s">
        <v>147</v>
      </c>
      <c r="E438" s="14" t="s">
        <v>277</v>
      </c>
      <c r="F438" s="14" t="n">
        <v>1</v>
      </c>
      <c r="G438" s="14" t="n">
        <v>2</v>
      </c>
      <c r="H438" s="14" t="n">
        <f aca="false">F438/G438</f>
        <v>0.5</v>
      </c>
      <c r="I438" s="14" t="n">
        <v>100</v>
      </c>
      <c r="J438" s="14" t="n">
        <v>1</v>
      </c>
      <c r="K438" s="14" t="n">
        <v>47.5</v>
      </c>
    </row>
    <row r="439" customFormat="false" ht="15" hidden="false" customHeight="true" outlineLevel="0" collapsed="false">
      <c r="A439" s="13" t="s">
        <v>1285</v>
      </c>
      <c r="B439" s="13" t="s">
        <v>1286</v>
      </c>
      <c r="C439" s="13" t="s">
        <v>1287</v>
      </c>
      <c r="D439" s="13" t="s">
        <v>147</v>
      </c>
      <c r="E439" s="14" t="s">
        <v>277</v>
      </c>
      <c r="F439" s="14" t="n">
        <v>1</v>
      </c>
      <c r="G439" s="14" t="n">
        <v>2</v>
      </c>
      <c r="H439" s="14" t="n">
        <f aca="false">F439/G439</f>
        <v>0.5</v>
      </c>
      <c r="I439" s="14" t="n">
        <v>100</v>
      </c>
      <c r="J439" s="14" t="n">
        <v>1</v>
      </c>
      <c r="K439" s="14" t="n">
        <v>47.5</v>
      </c>
    </row>
    <row r="440" customFormat="false" ht="15" hidden="false" customHeight="true" outlineLevel="0" collapsed="false">
      <c r="A440" s="13" t="s">
        <v>1288</v>
      </c>
      <c r="B440" s="13" t="s">
        <v>1289</v>
      </c>
      <c r="C440" s="13" t="s">
        <v>829</v>
      </c>
      <c r="D440" s="13" t="s">
        <v>147</v>
      </c>
      <c r="E440" s="14" t="s">
        <v>277</v>
      </c>
      <c r="F440" s="14" t="n">
        <v>1</v>
      </c>
      <c r="G440" s="14" t="n">
        <v>2</v>
      </c>
      <c r="H440" s="14" t="n">
        <f aca="false">F440/G440</f>
        <v>0.5</v>
      </c>
      <c r="I440" s="14" t="n">
        <v>0</v>
      </c>
      <c r="J440" s="14" t="n">
        <v>1</v>
      </c>
      <c r="K440" s="14" t="n">
        <v>47.5</v>
      </c>
    </row>
    <row r="441" customFormat="false" ht="15" hidden="false" customHeight="true" outlineLevel="0" collapsed="false">
      <c r="A441" s="13" t="s">
        <v>1290</v>
      </c>
      <c r="B441" s="13" t="s">
        <v>1291</v>
      </c>
      <c r="C441" s="13" t="s">
        <v>1292</v>
      </c>
      <c r="D441" s="13" t="s">
        <v>147</v>
      </c>
      <c r="E441" s="14" t="s">
        <v>277</v>
      </c>
      <c r="F441" s="14" t="n">
        <v>1</v>
      </c>
      <c r="G441" s="14" t="n">
        <v>2</v>
      </c>
      <c r="H441" s="14" t="n">
        <f aca="false">F441/G441</f>
        <v>0.5</v>
      </c>
      <c r="I441" s="14" t="n">
        <v>0</v>
      </c>
      <c r="J441" s="14" t="n">
        <v>1</v>
      </c>
      <c r="K441" s="14" t="n">
        <v>47.5</v>
      </c>
    </row>
    <row r="442" customFormat="false" ht="15" hidden="false" customHeight="true" outlineLevel="0" collapsed="false">
      <c r="A442" s="13" t="s">
        <v>1293</v>
      </c>
      <c r="B442" s="13" t="s">
        <v>1294</v>
      </c>
      <c r="C442" s="13" t="s">
        <v>1295</v>
      </c>
      <c r="D442" s="13" t="s">
        <v>178</v>
      </c>
      <c r="E442" s="14" t="s">
        <v>277</v>
      </c>
      <c r="F442" s="14" t="n">
        <v>1</v>
      </c>
      <c r="G442" s="14" t="n">
        <v>2</v>
      </c>
      <c r="H442" s="14" t="n">
        <f aca="false">F442/G442</f>
        <v>0.5</v>
      </c>
      <c r="I442" s="14" t="n">
        <v>0</v>
      </c>
      <c r="J442" s="14" t="n">
        <v>1</v>
      </c>
      <c r="K442" s="14" t="n">
        <v>47.5</v>
      </c>
    </row>
    <row r="443" customFormat="false" ht="15" hidden="false" customHeight="true" outlineLevel="0" collapsed="false">
      <c r="A443" s="13" t="s">
        <v>1296</v>
      </c>
      <c r="B443" s="13" t="s">
        <v>1297</v>
      </c>
      <c r="C443" s="13" t="s">
        <v>1298</v>
      </c>
      <c r="D443" s="13" t="s">
        <v>147</v>
      </c>
      <c r="E443" s="14" t="s">
        <v>277</v>
      </c>
      <c r="F443" s="14" t="n">
        <v>1</v>
      </c>
      <c r="G443" s="14" t="n">
        <v>2</v>
      </c>
      <c r="H443" s="14" t="n">
        <f aca="false">F443/G443</f>
        <v>0.5</v>
      </c>
      <c r="I443" s="14" t="n">
        <v>0</v>
      </c>
      <c r="J443" s="14" t="n">
        <v>1</v>
      </c>
      <c r="K443" s="14" t="n">
        <v>47.5</v>
      </c>
    </row>
    <row r="444" customFormat="false" ht="15" hidden="false" customHeight="true" outlineLevel="0" collapsed="false">
      <c r="A444" s="13" t="s">
        <v>1299</v>
      </c>
      <c r="B444" s="13" t="s">
        <v>1300</v>
      </c>
      <c r="C444" s="13" t="s">
        <v>1301</v>
      </c>
      <c r="D444" s="13" t="s">
        <v>77</v>
      </c>
      <c r="E444" s="14" t="s">
        <v>277</v>
      </c>
      <c r="F444" s="14" t="n">
        <v>1</v>
      </c>
      <c r="G444" s="14" t="n">
        <v>2</v>
      </c>
      <c r="H444" s="14" t="n">
        <f aca="false">F444/G444</f>
        <v>0.5</v>
      </c>
      <c r="I444" s="14" t="n">
        <v>100</v>
      </c>
      <c r="J444" s="14" t="n">
        <v>1</v>
      </c>
      <c r="K444" s="14" t="n">
        <v>47.5</v>
      </c>
    </row>
    <row r="445" customFormat="false" ht="15" hidden="false" customHeight="true" outlineLevel="0" collapsed="false">
      <c r="A445" s="13" t="s">
        <v>1302</v>
      </c>
      <c r="B445" s="13" t="s">
        <v>1303</v>
      </c>
      <c r="C445" s="13" t="s">
        <v>1304</v>
      </c>
      <c r="D445" s="13" t="s">
        <v>178</v>
      </c>
      <c r="E445" s="14" t="s">
        <v>277</v>
      </c>
      <c r="F445" s="14" t="n">
        <v>1</v>
      </c>
      <c r="G445" s="14" t="n">
        <v>2</v>
      </c>
      <c r="H445" s="14" t="n">
        <f aca="false">F445/G445</f>
        <v>0.5</v>
      </c>
      <c r="I445" s="14" t="n">
        <v>0</v>
      </c>
      <c r="J445" s="14" t="n">
        <v>1</v>
      </c>
      <c r="K445" s="14" t="n">
        <v>47.5</v>
      </c>
    </row>
    <row r="446" customFormat="false" ht="15" hidden="false" customHeight="true" outlineLevel="0" collapsed="false">
      <c r="A446" s="13" t="s">
        <v>1305</v>
      </c>
      <c r="B446" s="13" t="s">
        <v>1306</v>
      </c>
      <c r="C446" s="13" t="s">
        <v>1307</v>
      </c>
      <c r="D446" s="13" t="s">
        <v>178</v>
      </c>
      <c r="E446" s="14" t="s">
        <v>277</v>
      </c>
      <c r="F446" s="14" t="n">
        <v>1</v>
      </c>
      <c r="G446" s="14" t="n">
        <v>2</v>
      </c>
      <c r="H446" s="14" t="n">
        <f aca="false">F446/G446</f>
        <v>0.5</v>
      </c>
      <c r="I446" s="14" t="n">
        <v>0</v>
      </c>
      <c r="J446" s="14" t="n">
        <v>1</v>
      </c>
      <c r="K446" s="14" t="n">
        <v>47.5</v>
      </c>
    </row>
    <row r="447" customFormat="false" ht="15" hidden="false" customHeight="true" outlineLevel="0" collapsed="false">
      <c r="A447" s="13" t="s">
        <v>1308</v>
      </c>
      <c r="B447" s="13" t="s">
        <v>1309</v>
      </c>
      <c r="C447" s="13" t="s">
        <v>1310</v>
      </c>
      <c r="D447" s="13" t="s">
        <v>178</v>
      </c>
      <c r="E447" s="14" t="s">
        <v>277</v>
      </c>
      <c r="F447" s="14" t="n">
        <v>1</v>
      </c>
      <c r="G447" s="14" t="n">
        <v>2</v>
      </c>
      <c r="H447" s="14" t="n">
        <f aca="false">F447/G447</f>
        <v>0.5</v>
      </c>
      <c r="I447" s="14" t="n">
        <v>0</v>
      </c>
      <c r="J447" s="14" t="n">
        <v>1</v>
      </c>
      <c r="K447" s="14" t="n">
        <v>47.5</v>
      </c>
    </row>
    <row r="448" customFormat="false" ht="15" hidden="false" customHeight="true" outlineLevel="0" collapsed="false">
      <c r="A448" s="13" t="s">
        <v>1311</v>
      </c>
      <c r="B448" s="13" t="s">
        <v>1312</v>
      </c>
      <c r="C448" s="13" t="s">
        <v>1313</v>
      </c>
      <c r="D448" s="13" t="s">
        <v>178</v>
      </c>
      <c r="E448" s="14" t="s">
        <v>277</v>
      </c>
      <c r="F448" s="14" t="n">
        <v>1</v>
      </c>
      <c r="G448" s="14" t="n">
        <v>2</v>
      </c>
      <c r="H448" s="14" t="n">
        <f aca="false">F448/G448</f>
        <v>0.5</v>
      </c>
      <c r="I448" s="14" t="n">
        <v>0</v>
      </c>
      <c r="J448" s="14" t="n">
        <v>1</v>
      </c>
      <c r="K448" s="14" t="n">
        <v>47.5</v>
      </c>
    </row>
    <row r="449" customFormat="false" ht="15" hidden="false" customHeight="true" outlineLevel="0" collapsed="false">
      <c r="A449" s="13" t="s">
        <v>1314</v>
      </c>
      <c r="B449" s="13" t="s">
        <v>1315</v>
      </c>
      <c r="C449" s="13" t="s">
        <v>1224</v>
      </c>
      <c r="D449" s="13" t="s">
        <v>178</v>
      </c>
      <c r="E449" s="14" t="s">
        <v>277</v>
      </c>
      <c r="F449" s="14" t="n">
        <v>1</v>
      </c>
      <c r="G449" s="14" t="n">
        <v>2</v>
      </c>
      <c r="H449" s="14" t="n">
        <f aca="false">F449/G449</f>
        <v>0.5</v>
      </c>
      <c r="I449" s="14" t="n">
        <v>0</v>
      </c>
      <c r="J449" s="14" t="n">
        <v>1</v>
      </c>
      <c r="K449" s="14" t="n">
        <v>47.5</v>
      </c>
    </row>
    <row r="450" customFormat="false" ht="15" hidden="false" customHeight="true" outlineLevel="0" collapsed="false">
      <c r="A450" s="13" t="s">
        <v>1316</v>
      </c>
      <c r="B450" s="13" t="s">
        <v>1317</v>
      </c>
      <c r="C450" s="13" t="s">
        <v>1318</v>
      </c>
      <c r="D450" s="13" t="s">
        <v>178</v>
      </c>
      <c r="E450" s="14" t="s">
        <v>277</v>
      </c>
      <c r="F450" s="14" t="n">
        <v>1</v>
      </c>
      <c r="G450" s="14" t="n">
        <v>2</v>
      </c>
      <c r="H450" s="14" t="n">
        <f aca="false">F450/G450</f>
        <v>0.5</v>
      </c>
      <c r="I450" s="14" t="n">
        <v>0</v>
      </c>
      <c r="J450" s="14" t="n">
        <v>1</v>
      </c>
      <c r="K450" s="14" t="n">
        <v>47.5</v>
      </c>
    </row>
    <row r="451" customFormat="false" ht="15" hidden="false" customHeight="true" outlineLevel="0" collapsed="false">
      <c r="A451" s="13" t="s">
        <v>1319</v>
      </c>
      <c r="B451" s="13" t="s">
        <v>1320</v>
      </c>
      <c r="C451" s="13" t="s">
        <v>1321</v>
      </c>
      <c r="D451" s="13" t="s">
        <v>178</v>
      </c>
      <c r="E451" s="14" t="s">
        <v>277</v>
      </c>
      <c r="F451" s="14" t="n">
        <v>1</v>
      </c>
      <c r="G451" s="14" t="n">
        <v>2</v>
      </c>
      <c r="H451" s="14" t="n">
        <f aca="false">F451/G451</f>
        <v>0.5</v>
      </c>
      <c r="I451" s="14" t="n">
        <v>0</v>
      </c>
      <c r="J451" s="14" t="n">
        <v>1</v>
      </c>
      <c r="K451" s="14" t="n">
        <v>47.5</v>
      </c>
    </row>
    <row r="452" customFormat="false" ht="15" hidden="false" customHeight="true" outlineLevel="0" collapsed="false">
      <c r="A452" s="13" t="s">
        <v>1322</v>
      </c>
      <c r="B452" s="13" t="s">
        <v>1323</v>
      </c>
      <c r="C452" s="13" t="s">
        <v>1324</v>
      </c>
      <c r="D452" s="13" t="s">
        <v>178</v>
      </c>
      <c r="E452" s="14" t="s">
        <v>277</v>
      </c>
      <c r="F452" s="14" t="n">
        <v>1</v>
      </c>
      <c r="G452" s="14" t="n">
        <v>2</v>
      </c>
      <c r="H452" s="14" t="n">
        <f aca="false">F452/G452</f>
        <v>0.5</v>
      </c>
      <c r="I452" s="14" t="n">
        <v>0</v>
      </c>
      <c r="J452" s="14" t="n">
        <v>1</v>
      </c>
      <c r="K452" s="14" t="n">
        <v>47.5</v>
      </c>
    </row>
    <row r="453" customFormat="false" ht="15" hidden="false" customHeight="true" outlineLevel="0" collapsed="false">
      <c r="A453" s="13" t="s">
        <v>1325</v>
      </c>
      <c r="B453" s="13" t="s">
        <v>1326</v>
      </c>
      <c r="C453" s="13" t="s">
        <v>1327</v>
      </c>
      <c r="D453" s="13" t="s">
        <v>77</v>
      </c>
      <c r="E453" s="14" t="s">
        <v>277</v>
      </c>
      <c r="F453" s="14" t="n">
        <v>1</v>
      </c>
      <c r="G453" s="14" t="n">
        <v>2</v>
      </c>
      <c r="H453" s="14" t="n">
        <f aca="false">F453/G453</f>
        <v>0.5</v>
      </c>
      <c r="I453" s="14" t="n">
        <v>0</v>
      </c>
      <c r="J453" s="14" t="n">
        <v>1</v>
      </c>
      <c r="K453" s="14" t="n">
        <v>47.5</v>
      </c>
    </row>
    <row r="454" customFormat="false" ht="15" hidden="false" customHeight="true" outlineLevel="0" collapsed="false">
      <c r="A454" s="13" t="s">
        <v>1328</v>
      </c>
      <c r="B454" s="13" t="s">
        <v>1329</v>
      </c>
      <c r="C454" s="13" t="s">
        <v>1330</v>
      </c>
      <c r="D454" s="13" t="s">
        <v>77</v>
      </c>
      <c r="E454" s="14" t="s">
        <v>277</v>
      </c>
      <c r="F454" s="14" t="n">
        <v>1</v>
      </c>
      <c r="G454" s="14" t="n">
        <v>2</v>
      </c>
      <c r="H454" s="14" t="n">
        <f aca="false">F454/G454</f>
        <v>0.5</v>
      </c>
      <c r="I454" s="14" t="n">
        <v>0</v>
      </c>
      <c r="J454" s="14" t="n">
        <v>1</v>
      </c>
      <c r="K454" s="14" t="n">
        <v>47.5</v>
      </c>
    </row>
    <row r="455" customFormat="false" ht="15" hidden="false" customHeight="true" outlineLevel="0" collapsed="false">
      <c r="A455" s="13" t="s">
        <v>1331</v>
      </c>
      <c r="B455" s="13" t="s">
        <v>1332</v>
      </c>
      <c r="C455" s="13" t="s">
        <v>1333</v>
      </c>
      <c r="D455" s="13" t="s">
        <v>77</v>
      </c>
      <c r="E455" s="14" t="s">
        <v>277</v>
      </c>
      <c r="F455" s="14" t="n">
        <v>1</v>
      </c>
      <c r="G455" s="14" t="n">
        <v>2</v>
      </c>
      <c r="H455" s="14" t="n">
        <f aca="false">F455/G455</f>
        <v>0.5</v>
      </c>
      <c r="I455" s="14" t="n">
        <v>100</v>
      </c>
      <c r="J455" s="14" t="n">
        <v>1</v>
      </c>
      <c r="K455" s="14" t="n">
        <v>47.5</v>
      </c>
    </row>
    <row r="456" customFormat="false" ht="15" hidden="false" customHeight="true" outlineLevel="0" collapsed="false">
      <c r="A456" s="13" t="s">
        <v>1334</v>
      </c>
      <c r="B456" s="13" t="s">
        <v>1335</v>
      </c>
      <c r="C456" s="13" t="s">
        <v>1336</v>
      </c>
      <c r="D456" s="13" t="s">
        <v>178</v>
      </c>
      <c r="E456" s="14" t="s">
        <v>277</v>
      </c>
      <c r="F456" s="14" t="n">
        <v>1</v>
      </c>
      <c r="G456" s="14" t="n">
        <v>2</v>
      </c>
      <c r="H456" s="14" t="n">
        <f aca="false">F456/G456</f>
        <v>0.5</v>
      </c>
      <c r="I456" s="14" t="n">
        <v>0</v>
      </c>
      <c r="J456" s="14" t="n">
        <v>1</v>
      </c>
      <c r="K456" s="14" t="n">
        <v>47.5</v>
      </c>
    </row>
    <row r="457" customFormat="false" ht="15" hidden="false" customHeight="true" outlineLevel="0" collapsed="false">
      <c r="A457" s="13" t="s">
        <v>1337</v>
      </c>
      <c r="B457" s="13" t="s">
        <v>1338</v>
      </c>
      <c r="C457" s="13" t="s">
        <v>826</v>
      </c>
      <c r="D457" s="13" t="s">
        <v>147</v>
      </c>
      <c r="E457" s="14" t="s">
        <v>277</v>
      </c>
      <c r="F457" s="14" t="n">
        <v>1</v>
      </c>
      <c r="G457" s="14" t="n">
        <v>2</v>
      </c>
      <c r="H457" s="14" t="n">
        <f aca="false">F457/G457</f>
        <v>0.5</v>
      </c>
      <c r="I457" s="14" t="n">
        <v>0</v>
      </c>
      <c r="J457" s="14" t="n">
        <v>1</v>
      </c>
      <c r="K457" s="14" t="n">
        <v>47.5</v>
      </c>
    </row>
    <row r="458" customFormat="false" ht="15" hidden="false" customHeight="true" outlineLevel="0" collapsed="false">
      <c r="A458" s="13" t="s">
        <v>1339</v>
      </c>
      <c r="B458" s="13" t="s">
        <v>1340</v>
      </c>
      <c r="C458" s="13" t="s">
        <v>1341</v>
      </c>
      <c r="D458" s="13" t="s">
        <v>178</v>
      </c>
      <c r="E458" s="14" t="s">
        <v>277</v>
      </c>
      <c r="F458" s="14" t="n">
        <v>1</v>
      </c>
      <c r="G458" s="14" t="n">
        <v>2</v>
      </c>
      <c r="H458" s="14" t="n">
        <f aca="false">F458/G458</f>
        <v>0.5</v>
      </c>
      <c r="I458" s="14" t="n">
        <v>0</v>
      </c>
      <c r="J458" s="14" t="n">
        <v>1</v>
      </c>
      <c r="K458" s="14" t="n">
        <v>47.5</v>
      </c>
    </row>
    <row r="459" customFormat="false" ht="15" hidden="false" customHeight="true" outlineLevel="0" collapsed="false">
      <c r="A459" s="13" t="s">
        <v>1342</v>
      </c>
      <c r="B459" s="13" t="s">
        <v>1343</v>
      </c>
      <c r="C459" s="13" t="s">
        <v>1221</v>
      </c>
      <c r="D459" s="13" t="s">
        <v>178</v>
      </c>
      <c r="E459" s="14" t="s">
        <v>277</v>
      </c>
      <c r="F459" s="14" t="n">
        <v>1</v>
      </c>
      <c r="G459" s="14" t="n">
        <v>2</v>
      </c>
      <c r="H459" s="14" t="n">
        <f aca="false">F459/G459</f>
        <v>0.5</v>
      </c>
      <c r="I459" s="14" t="n">
        <v>0</v>
      </c>
      <c r="J459" s="14" t="n">
        <v>1</v>
      </c>
      <c r="K459" s="14" t="n">
        <v>47.5</v>
      </c>
    </row>
    <row r="460" customFormat="false" ht="15" hidden="false" customHeight="true" outlineLevel="0" collapsed="false">
      <c r="A460" s="13" t="s">
        <v>1344</v>
      </c>
      <c r="B460" s="13" t="s">
        <v>1345</v>
      </c>
      <c r="C460" s="13" t="s">
        <v>1346</v>
      </c>
      <c r="D460" s="13" t="s">
        <v>178</v>
      </c>
      <c r="E460" s="14" t="s">
        <v>277</v>
      </c>
      <c r="F460" s="14" t="n">
        <v>1</v>
      </c>
      <c r="G460" s="14" t="n">
        <v>2</v>
      </c>
      <c r="H460" s="14" t="n">
        <f aca="false">F460/G460</f>
        <v>0.5</v>
      </c>
      <c r="I460" s="14" t="n">
        <v>0</v>
      </c>
      <c r="J460" s="14" t="n">
        <v>1</v>
      </c>
      <c r="K460" s="14" t="n">
        <v>47.5</v>
      </c>
    </row>
    <row r="461" customFormat="false" ht="15" hidden="false" customHeight="true" outlineLevel="0" collapsed="false">
      <c r="A461" s="13" t="s">
        <v>1347</v>
      </c>
      <c r="B461" s="13" t="s">
        <v>1348</v>
      </c>
      <c r="C461" s="13" t="s">
        <v>1349</v>
      </c>
      <c r="D461" s="13" t="s">
        <v>147</v>
      </c>
      <c r="E461" s="14" t="s">
        <v>277</v>
      </c>
      <c r="F461" s="14" t="n">
        <v>1</v>
      </c>
      <c r="G461" s="14" t="n">
        <v>2</v>
      </c>
      <c r="H461" s="14" t="n">
        <f aca="false">F461/G461</f>
        <v>0.5</v>
      </c>
      <c r="I461" s="14" t="n">
        <v>0</v>
      </c>
      <c r="J461" s="14" t="n">
        <v>1</v>
      </c>
      <c r="K461" s="14" t="n">
        <v>47.5</v>
      </c>
    </row>
    <row r="462" customFormat="false" ht="15" hidden="false" customHeight="true" outlineLevel="0" collapsed="false">
      <c r="A462" s="13" t="s">
        <v>1350</v>
      </c>
      <c r="B462" s="13" t="s">
        <v>1351</v>
      </c>
      <c r="C462" s="13" t="s">
        <v>1352</v>
      </c>
      <c r="D462" s="13" t="s">
        <v>178</v>
      </c>
      <c r="E462" s="14" t="s">
        <v>277</v>
      </c>
      <c r="F462" s="14" t="n">
        <v>1</v>
      </c>
      <c r="G462" s="14" t="n">
        <v>2</v>
      </c>
      <c r="H462" s="14" t="n">
        <f aca="false">F462/G462</f>
        <v>0.5</v>
      </c>
      <c r="I462" s="14" t="n">
        <v>0</v>
      </c>
      <c r="J462" s="14" t="n">
        <v>1</v>
      </c>
      <c r="K462" s="14" t="n">
        <v>47.5</v>
      </c>
    </row>
    <row r="463" customFormat="false" ht="15" hidden="false" customHeight="true" outlineLevel="0" collapsed="false">
      <c r="A463" s="13" t="s">
        <v>1353</v>
      </c>
      <c r="B463" s="13" t="s">
        <v>1354</v>
      </c>
      <c r="C463" s="13" t="s">
        <v>1355</v>
      </c>
      <c r="D463" s="13" t="s">
        <v>147</v>
      </c>
      <c r="E463" s="14" t="s">
        <v>277</v>
      </c>
      <c r="F463" s="14" t="n">
        <v>1</v>
      </c>
      <c r="G463" s="14" t="n">
        <v>2</v>
      </c>
      <c r="H463" s="14" t="n">
        <f aca="false">F463/G463</f>
        <v>0.5</v>
      </c>
      <c r="I463" s="14" t="n">
        <v>0</v>
      </c>
      <c r="J463" s="14" t="n">
        <v>1</v>
      </c>
      <c r="K463" s="14" t="n">
        <v>47.5</v>
      </c>
    </row>
    <row r="464" customFormat="false" ht="15" hidden="false" customHeight="true" outlineLevel="0" collapsed="false">
      <c r="A464" s="13" t="s">
        <v>1356</v>
      </c>
      <c r="B464" s="13" t="s">
        <v>1357</v>
      </c>
      <c r="C464" s="13" t="s">
        <v>1358</v>
      </c>
      <c r="D464" s="13" t="s">
        <v>147</v>
      </c>
      <c r="E464" s="14" t="s">
        <v>277</v>
      </c>
      <c r="F464" s="14" t="n">
        <v>1</v>
      </c>
      <c r="G464" s="14" t="n">
        <v>2</v>
      </c>
      <c r="H464" s="14" t="n">
        <f aca="false">F464/G464</f>
        <v>0.5</v>
      </c>
      <c r="I464" s="14" t="n">
        <v>0</v>
      </c>
      <c r="J464" s="14" t="n">
        <v>1</v>
      </c>
      <c r="K464" s="14" t="n">
        <v>47.5</v>
      </c>
    </row>
    <row r="465" customFormat="false" ht="15" hidden="false" customHeight="true" outlineLevel="0" collapsed="false">
      <c r="A465" s="13" t="s">
        <v>1359</v>
      </c>
      <c r="B465" s="13" t="s">
        <v>1360</v>
      </c>
      <c r="C465" s="13" t="s">
        <v>1361</v>
      </c>
      <c r="D465" s="13" t="s">
        <v>178</v>
      </c>
      <c r="E465" s="14" t="s">
        <v>277</v>
      </c>
      <c r="F465" s="14" t="n">
        <v>1</v>
      </c>
      <c r="G465" s="14" t="n">
        <v>2</v>
      </c>
      <c r="H465" s="14" t="n">
        <f aca="false">F465/G465</f>
        <v>0.5</v>
      </c>
      <c r="I465" s="14" t="n">
        <v>0</v>
      </c>
      <c r="J465" s="14" t="n">
        <v>1</v>
      </c>
      <c r="K465" s="14" t="n">
        <v>47.5</v>
      </c>
    </row>
    <row r="466" customFormat="false" ht="15" hidden="false" customHeight="true" outlineLevel="0" collapsed="false">
      <c r="A466" s="13" t="s">
        <v>1362</v>
      </c>
      <c r="B466" s="13" t="s">
        <v>1363</v>
      </c>
      <c r="C466" s="13" t="s">
        <v>1364</v>
      </c>
      <c r="D466" s="13" t="s">
        <v>178</v>
      </c>
      <c r="E466" s="14" t="s">
        <v>277</v>
      </c>
      <c r="F466" s="14" t="n">
        <v>1</v>
      </c>
      <c r="G466" s="14" t="n">
        <v>2</v>
      </c>
      <c r="H466" s="14" t="n">
        <f aca="false">F466/G466</f>
        <v>0.5</v>
      </c>
      <c r="I466" s="14" t="n">
        <v>0</v>
      </c>
      <c r="J466" s="14" t="n">
        <v>1</v>
      </c>
      <c r="K466" s="14" t="n">
        <v>47.5</v>
      </c>
    </row>
    <row r="467" customFormat="false" ht="15" hidden="false" customHeight="true" outlineLevel="0" collapsed="false">
      <c r="A467" s="13" t="s">
        <v>1365</v>
      </c>
      <c r="B467" s="13" t="s">
        <v>1366</v>
      </c>
      <c r="C467" s="13" t="s">
        <v>1367</v>
      </c>
      <c r="D467" s="13" t="s">
        <v>178</v>
      </c>
      <c r="E467" s="14" t="s">
        <v>277</v>
      </c>
      <c r="F467" s="14" t="n">
        <v>1</v>
      </c>
      <c r="G467" s="14" t="n">
        <v>2</v>
      </c>
      <c r="H467" s="14" t="n">
        <f aca="false">F467/G467</f>
        <v>0.5</v>
      </c>
      <c r="I467" s="14" t="n">
        <v>0</v>
      </c>
      <c r="J467" s="14" t="n">
        <v>1</v>
      </c>
      <c r="K467" s="14" t="n">
        <v>47.5</v>
      </c>
    </row>
    <row r="468" customFormat="false" ht="15" hidden="false" customHeight="true" outlineLevel="0" collapsed="false">
      <c r="A468" s="13" t="s">
        <v>1368</v>
      </c>
      <c r="B468" s="13" t="s">
        <v>1369</v>
      </c>
      <c r="C468" s="13" t="s">
        <v>1370</v>
      </c>
      <c r="D468" s="13" t="s">
        <v>147</v>
      </c>
      <c r="E468" s="14" t="s">
        <v>277</v>
      </c>
      <c r="F468" s="14" t="n">
        <v>1</v>
      </c>
      <c r="G468" s="14" t="n">
        <v>2</v>
      </c>
      <c r="H468" s="14" t="n">
        <f aca="false">F468/G468</f>
        <v>0.5</v>
      </c>
      <c r="I468" s="14" t="n">
        <v>0</v>
      </c>
      <c r="J468" s="14" t="n">
        <v>1</v>
      </c>
      <c r="K468" s="14" t="n">
        <v>47.5</v>
      </c>
    </row>
    <row r="469" customFormat="false" ht="15" hidden="false" customHeight="true" outlineLevel="0" collapsed="false">
      <c r="A469" s="13" t="s">
        <v>1371</v>
      </c>
      <c r="B469" s="13" t="s">
        <v>1372</v>
      </c>
      <c r="C469" s="13" t="s">
        <v>1373</v>
      </c>
      <c r="D469" s="13" t="s">
        <v>147</v>
      </c>
      <c r="E469" s="14" t="s">
        <v>277</v>
      </c>
      <c r="F469" s="14" t="n">
        <v>1</v>
      </c>
      <c r="G469" s="14" t="n">
        <v>2</v>
      </c>
      <c r="H469" s="14" t="n">
        <f aca="false">F469/G469</f>
        <v>0.5</v>
      </c>
      <c r="I469" s="14" t="s">
        <v>1187</v>
      </c>
      <c r="J469" s="14" t="n">
        <v>0.8</v>
      </c>
      <c r="K469" s="14" t="n">
        <v>47.5</v>
      </c>
    </row>
    <row r="470" customFormat="false" ht="15" hidden="false" customHeight="true" outlineLevel="0" collapsed="false">
      <c r="A470" s="13" t="s">
        <v>1374</v>
      </c>
      <c r="B470" s="13" t="s">
        <v>1375</v>
      </c>
      <c r="C470" s="13" t="s">
        <v>1376</v>
      </c>
      <c r="D470" s="13" t="s">
        <v>178</v>
      </c>
      <c r="E470" s="14" t="s">
        <v>277</v>
      </c>
      <c r="F470" s="14" t="n">
        <v>1</v>
      </c>
      <c r="G470" s="14" t="n">
        <v>2</v>
      </c>
      <c r="H470" s="14" t="n">
        <f aca="false">F470/G470</f>
        <v>0.5</v>
      </c>
      <c r="I470" s="14" t="s">
        <v>1187</v>
      </c>
      <c r="J470" s="14" t="n">
        <v>0.7</v>
      </c>
      <c r="K470" s="14" t="n">
        <v>47.5</v>
      </c>
    </row>
    <row r="471" customFormat="false" ht="15" hidden="false" customHeight="true" outlineLevel="0" collapsed="false">
      <c r="A471" s="13" t="s">
        <v>1377</v>
      </c>
      <c r="B471" s="13" t="s">
        <v>1378</v>
      </c>
      <c r="C471" s="13" t="s">
        <v>1379</v>
      </c>
      <c r="D471" s="13" t="s">
        <v>178</v>
      </c>
      <c r="E471" s="14" t="s">
        <v>277</v>
      </c>
      <c r="F471" s="14" t="n">
        <v>1</v>
      </c>
      <c r="G471" s="14" t="n">
        <v>2</v>
      </c>
      <c r="H471" s="14" t="n">
        <f aca="false">F471/G471</f>
        <v>0.5</v>
      </c>
      <c r="I471" s="14" t="s">
        <v>1187</v>
      </c>
      <c r="J471" s="14" t="n">
        <v>0.5</v>
      </c>
      <c r="K471" s="14" t="n">
        <v>47.5</v>
      </c>
    </row>
    <row r="472" customFormat="false" ht="15" hidden="false" customHeight="true" outlineLevel="0" collapsed="false">
      <c r="A472" s="13" t="s">
        <v>1380</v>
      </c>
      <c r="B472" s="13" t="s">
        <v>1381</v>
      </c>
      <c r="C472" s="13" t="s">
        <v>793</v>
      </c>
      <c r="D472" s="13" t="s">
        <v>178</v>
      </c>
      <c r="E472" s="14" t="s">
        <v>277</v>
      </c>
      <c r="F472" s="14" t="n">
        <v>1</v>
      </c>
      <c r="G472" s="14" t="n">
        <v>2</v>
      </c>
      <c r="H472" s="14" t="n">
        <f aca="false">F472/G472</f>
        <v>0.5</v>
      </c>
      <c r="I472" s="14" t="s">
        <v>1187</v>
      </c>
      <c r="J472" s="14" t="n">
        <v>0.2</v>
      </c>
      <c r="K472" s="14" t="n">
        <v>47.5</v>
      </c>
    </row>
    <row r="473" customFormat="false" ht="15" hidden="false" customHeight="true" outlineLevel="0" collapsed="false">
      <c r="A473" s="13" t="s">
        <v>1382</v>
      </c>
      <c r="B473" s="13" t="s">
        <v>1383</v>
      </c>
      <c r="C473" s="13" t="s">
        <v>1384</v>
      </c>
      <c r="D473" s="13" t="s">
        <v>178</v>
      </c>
      <c r="E473" s="14" t="s">
        <v>277</v>
      </c>
      <c r="F473" s="14" t="n">
        <v>1</v>
      </c>
      <c r="G473" s="14" t="n">
        <v>2</v>
      </c>
      <c r="H473" s="14" t="n">
        <f aca="false">F473/G473</f>
        <v>0.5</v>
      </c>
      <c r="I473" s="14" t="s">
        <v>1187</v>
      </c>
      <c r="J473" s="14" t="n">
        <v>0.2</v>
      </c>
      <c r="K473" s="14" t="n">
        <v>47.5</v>
      </c>
    </row>
    <row r="474" customFormat="false" ht="15" hidden="false" customHeight="true" outlineLevel="0" collapsed="false">
      <c r="A474" s="13" t="s">
        <v>1385</v>
      </c>
      <c r="B474" s="13" t="s">
        <v>1386</v>
      </c>
      <c r="C474" s="13" t="s">
        <v>1387</v>
      </c>
      <c r="D474" s="13" t="s">
        <v>147</v>
      </c>
      <c r="E474" s="14" t="s">
        <v>277</v>
      </c>
      <c r="F474" s="14" t="n">
        <v>1</v>
      </c>
      <c r="G474" s="14" t="n">
        <v>2</v>
      </c>
      <c r="H474" s="14" t="n">
        <f aca="false">F474/G474</f>
        <v>0.5</v>
      </c>
      <c r="I474" s="14" t="s">
        <v>1187</v>
      </c>
      <c r="J474" s="14" t="n">
        <v>0.1</v>
      </c>
      <c r="K474" s="14" t="n">
        <v>47.5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A1" s="15" t="s">
        <v>1388</v>
      </c>
    </row>
    <row r="2" customFormat="false" ht="15" hidden="false" customHeight="true" outlineLevel="0" collapsed="false">
      <c r="A2" s="3" t="s">
        <v>1389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28"/>
  </cols>
  <sheetData>
    <row r="1" customFormat="false" ht="16.15" hidden="false" customHeight="false" outlineLevel="0" collapsed="false">
      <c r="A1" s="25" t="s">
        <v>1390</v>
      </c>
    </row>
    <row r="2" customFormat="false" ht="15" hidden="false" customHeight="false" outlineLevel="0" collapsed="false">
      <c r="A2" s="26" t="s">
        <v>1391</v>
      </c>
    </row>
    <row r="4" customFormat="false" ht="15" hidden="false" customHeight="false" outlineLevel="0" collapsed="false">
      <c r="A4" s="27" t="s">
        <v>1392</v>
      </c>
    </row>
    <row r="5" customFormat="false" ht="15" hidden="false" customHeight="false" outlineLevel="0" collapsed="false">
      <c r="A5" s="8" t="s">
        <v>1393</v>
      </c>
      <c r="B5" s="8" t="s">
        <v>1394</v>
      </c>
      <c r="C5" s="8" t="s">
        <v>1395</v>
      </c>
      <c r="D5" s="8" t="s">
        <v>1396</v>
      </c>
      <c r="E5" s="8" t="s">
        <v>1397</v>
      </c>
    </row>
    <row r="6" customFormat="false" ht="32.8" hidden="false" customHeight="false" outlineLevel="0" collapsed="false">
      <c r="A6" s="28" t="s">
        <v>1398</v>
      </c>
      <c r="B6" s="29" t="s">
        <v>1399</v>
      </c>
      <c r="C6" s="29" t="s">
        <v>1400</v>
      </c>
      <c r="D6" s="29" t="s">
        <v>1401</v>
      </c>
      <c r="E6" s="29" t="s">
        <v>1402</v>
      </c>
    </row>
    <row r="7" customFormat="false" ht="22.35" hidden="false" customHeight="false" outlineLevel="0" collapsed="false">
      <c r="A7" s="30" t="s">
        <v>1403</v>
      </c>
      <c r="B7" s="31" t="s">
        <v>1404</v>
      </c>
      <c r="C7" s="31" t="s">
        <v>1405</v>
      </c>
      <c r="D7" s="31" t="s">
        <v>1406</v>
      </c>
      <c r="E7" s="31" t="s">
        <v>1407</v>
      </c>
    </row>
    <row r="9" customFormat="false" ht="15" hidden="false" customHeight="false" outlineLevel="0" collapsed="false">
      <c r="A9" s="27" t="s">
        <v>1408</v>
      </c>
    </row>
    <row r="10" customFormat="false" ht="15" hidden="false" customHeight="false" outlineLevel="0" collapsed="false">
      <c r="A10" s="32" t="s">
        <v>1409</v>
      </c>
    </row>
    <row r="11" customFormat="false" ht="15" hidden="false" customHeight="false" outlineLevel="0" collapsed="false">
      <c r="A11" s="8" t="s">
        <v>1410</v>
      </c>
      <c r="B11" s="8" t="s">
        <v>1411</v>
      </c>
      <c r="C11" s="8" t="s">
        <v>1412</v>
      </c>
    </row>
    <row r="12" customFormat="false" ht="15" hidden="false" customHeight="false" outlineLevel="0" collapsed="false">
      <c r="A12" s="33" t="s">
        <v>1413</v>
      </c>
      <c r="B12" s="34" t="s">
        <v>1414</v>
      </c>
      <c r="C12" s="34" t="s">
        <v>1415</v>
      </c>
    </row>
    <row r="13" customFormat="false" ht="15" hidden="false" customHeight="false" outlineLevel="0" collapsed="false">
      <c r="A13" s="33" t="s">
        <v>1416</v>
      </c>
      <c r="B13" s="34" t="s">
        <v>1417</v>
      </c>
      <c r="C13" s="34" t="s">
        <v>1418</v>
      </c>
    </row>
    <row r="14" customFormat="false" ht="15" hidden="false" customHeight="false" outlineLevel="0" collapsed="false">
      <c r="A14" s="33" t="s">
        <v>1419</v>
      </c>
      <c r="B14" s="34" t="s">
        <v>1420</v>
      </c>
      <c r="C14" s="34" t="s">
        <v>1421</v>
      </c>
    </row>
    <row r="15" customFormat="false" ht="15" hidden="false" customHeight="false" outlineLevel="0" collapsed="false">
      <c r="A15" s="33" t="s">
        <v>1422</v>
      </c>
      <c r="B15" s="34" t="s">
        <v>1420</v>
      </c>
      <c r="C15" s="34" t="s">
        <v>1423</v>
      </c>
    </row>
    <row r="16" customFormat="false" ht="15" hidden="false" customHeight="false" outlineLevel="0" collapsed="false">
      <c r="A16" s="33" t="s">
        <v>1424</v>
      </c>
      <c r="B16" s="34" t="s">
        <v>1425</v>
      </c>
      <c r="C16" s="34" t="s">
        <v>1426</v>
      </c>
    </row>
    <row r="17" customFormat="false" ht="15" hidden="false" customHeight="false" outlineLevel="0" collapsed="false">
      <c r="A17" s="33" t="s">
        <v>1427</v>
      </c>
      <c r="B17" s="34" t="s">
        <v>1428</v>
      </c>
      <c r="C17" s="34" t="s">
        <v>1429</v>
      </c>
    </row>
    <row r="20" customFormat="false" ht="15" hidden="false" customHeight="false" outlineLevel="0" collapsed="false">
      <c r="A20" s="27" t="s">
        <v>1430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2026-06-10T03:46:07Z</dcterms:created>
  <dc:creator>openpyxl</dc:creator>
  <dc:description/>
  <dc:language>en-US</dc:language>
  <cp:lastModifiedBy/>
  <dcterms:modified xsi:type="dcterms:W3CDTF">2026-06-10T03:47:58Z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