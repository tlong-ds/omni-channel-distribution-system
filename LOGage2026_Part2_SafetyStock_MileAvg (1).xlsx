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Time theo Vùng" sheetId="1" state="visible" r:id="rId3"/>
    <sheet name="Q2.2 Safety Stock" sheetId="2" state="visible" r:id="rId4"/>
    <sheet name="Q2.2 Pool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<sst xmlns="http://schemas.openxmlformats.org/spreadsheetml/2006/main" count="167" uniqueCount="135">
  <si>
    <t xml:space="preserve">Q2.2 BƯỚC 1-3: MILE-WEIGHTED AVERAGE LEAD TIME (RDC → 6 vùng VN)</t>
  </si>
  <si>
    <t xml:space="preserve">PHƯƠNG PHÁP &amp; CƠ SỞ ƯỚC LƯỢNG</t>
  </si>
  <si>
    <t xml:space="preserve">Bước 1: Gán lead time mỗi vùng theo BIỂU THỜI GIAN GIAO HÀNG TIÊU CHUẨN của các hãng vận tải VN (Viettel Post, GHN, GHTK).</t>
  </si>
  <si>
    <t xml:space="preserve">Bước 2: Trọng số mỗi vùng = số đơn của vùng / tổng số đơn.  Bước 3: LT trung bình = Σ(LT_vùng × Đơn_vùng) / Σ(Đơn_vùng).</t>
  </si>
  <si>
    <t xml:space="preserve">Cơ sở (RDC tại Đông Nam Bộ): GHN nội tỉnh ≤24h, nội/cận vùng 2-3 ngày | Viettel Post tiêu chuẩn nội miền 2-3 ngày, liên miền 3-4 ngày | GHTK nội miền 1-3, liên miền 3-5 ngày. Lấy mốc đại diện cho giao hàng B2B tiêu chuẩn đường bộ.</t>
  </si>
  <si>
    <t xml:space="preserve">BẢNG TÍNH LEAD TIME THEO VÙNG</t>
  </si>
  <si>
    <t xml:space="preserve">Vùng</t>
  </si>
  <si>
    <t xml:space="preserve">Phân loại tuyến</t>
  </si>
  <si>
    <t xml:space="preserve">Lead Time
(ngày)</t>
  </si>
  <si>
    <t xml:space="preserve">Số đơn</t>
  </si>
  <si>
    <t xml:space="preserve">Trọng số
(đơn)</t>
  </si>
  <si>
    <t xml:space="preserve">Sản lượng</t>
  </si>
  <si>
    <t xml:space="preserve">LT × Đơn</t>
  </si>
  <si>
    <t xml:space="preserve">Nguồn benchmark</t>
  </si>
  <si>
    <t xml:space="preserve">Đông Nam Bộ</t>
  </si>
  <si>
    <t xml:space="preserve">Nội tỉnh/cận RDC</t>
  </si>
  <si>
    <t xml:space="preserve">GHN ≤24h nội tỉnh</t>
  </si>
  <si>
    <t xml:space="preserve">Bắc Trung Bộ và Duyên hải miền Trung</t>
  </si>
  <si>
    <t xml:space="preserve">Liên miền Trung</t>
  </si>
  <si>
    <t xml:space="preserve">VTP liên miền, ĐN 1.5-4d</t>
  </si>
  <si>
    <t xml:space="preserve">Đồng bằng sông Cửu Long</t>
  </si>
  <si>
    <t xml:space="preserve">Nội miền Nam</t>
  </si>
  <si>
    <t xml:space="preserve">GHTK nội miền 1-3d</t>
  </si>
  <si>
    <t xml:space="preserve">Đồng bằng sông Hồng</t>
  </si>
  <si>
    <t xml:space="preserve">Liên miền Bắc</t>
  </si>
  <si>
    <t xml:space="preserve">GHTK liên miền 3-5d</t>
  </si>
  <si>
    <t xml:space="preserve">Tây Nguyên</t>
  </si>
  <si>
    <t xml:space="preserve">Cận miền</t>
  </si>
  <si>
    <t xml:space="preserve">VTP nội miền 2-3d</t>
  </si>
  <si>
    <t xml:space="preserve">Trung du và miền núi phía Bắc</t>
  </si>
  <si>
    <t xml:space="preserve">Liên miền Bắc + vùng sâu</t>
  </si>
  <si>
    <t xml:space="preserve">TỔNG</t>
  </si>
  <si>
    <t xml:space="preserve">KẾT QUẢ: MILE-WEIGHTED AVERAGE LEAD TIME</t>
  </si>
  <si>
    <t xml:space="preserve">LT trung bình (weighted theo đơn):</t>
  </si>
  <si>
    <t xml:space="preserve">ngày  = Σ(LT×Đơn)/ΣĐơn</t>
  </si>
  <si>
    <t xml:space="preserve">★ Kết quả: LT_avg ≈ 1.94 ngày. Vì 49% đơn ở Đông Nam Bộ (giao 1 ngày) nên LT bình quân kéo về gần 2 ngày dù vùng xa tới 4 ngày. Con số này được dùng làm replenishment lead time chung để tính Safety Stock ở sheet sau.</t>
  </si>
  <si>
    <t xml:space="preserve">Q2.2 — SAFETY STOCK cho 28 CLASS A SKUs (dùng LT_avg = 1.94 ngày)</t>
  </si>
  <si>
    <t xml:space="preserve">CÔNG THỨC</t>
  </si>
  <si>
    <t xml:space="preserve">SS = Z × σ_daily × √(LT_avg)   |   Z = 1.645 (95% service level)   |   σ_daily = σ_monthly / √30   |   LT_avg = 1.94 ngày (từ mile-weighted ở sheet trước)</t>
  </si>
  <si>
    <t xml:space="preserve">ROP (điểm tái đặt) = μ_daily × LT_avg + SS   |   μ_daily = μ_monthly / 30   |   σ_monthly = độ lệch chuẩn nhu cầu 7 tháng (ddof=1).</t>
  </si>
  <si>
    <t xml:space="preserve">SKU</t>
  </si>
  <si>
    <t xml:space="preserve">Sản phẩm</t>
  </si>
  <si>
    <t xml:space="preserve">ABC-XYZ</t>
  </si>
  <si>
    <t xml:space="preserve">μ tháng</t>
  </si>
  <si>
    <t xml:space="preserve">σ tháng</t>
  </si>
  <si>
    <t xml:space="preserve">μ ngày</t>
  </si>
  <si>
    <t xml:space="preserve">σ ngày</t>
  </si>
  <si>
    <t xml:space="preserve">Z</t>
  </si>
  <si>
    <t xml:space="preserve">√LT</t>
  </si>
  <si>
    <t xml:space="preserve">Safety Stock</t>
  </si>
  <si>
    <t xml:space="preserve">ROP</t>
  </si>
  <si>
    <t xml:space="preserve">Quạt lửng ASIAVINA - VY628</t>
  </si>
  <si>
    <t xml:space="preserve">AY</t>
  </si>
  <si>
    <t xml:space="preserve">Quạt đứng ASIAVINA Turbo X</t>
  </si>
  <si>
    <t xml:space="preserve">AZ</t>
  </si>
  <si>
    <t xml:space="preserve">Quạt lửng ASIAvina - VY538</t>
  </si>
  <si>
    <t xml:space="preserve">Quạt trần đảo ASIAvina - X</t>
  </si>
  <si>
    <t xml:space="preserve">Quạt sàn ASIAvina - VY6367</t>
  </si>
  <si>
    <t xml:space="preserve">Quạt đứng Tefal - VF2820F0</t>
  </si>
  <si>
    <t xml:space="preserve">Quạt treo ASIAvina - VY377</t>
  </si>
  <si>
    <t xml:space="preserve">AX</t>
  </si>
  <si>
    <t xml:space="preserve">Quạt treo ASIAVINA Turbo X</t>
  </si>
  <si>
    <t xml:space="preserve">Quạt sàn ASIAVINA TURBO MA</t>
  </si>
  <si>
    <t xml:space="preserve">Quạt đứng ASIAvina - VY639</t>
  </si>
  <si>
    <t xml:space="preserve">Quạt treo ASIAVINA VY35779</t>
  </si>
  <si>
    <t xml:space="preserve">Quạt đứng ASIAvina - VY539</t>
  </si>
  <si>
    <t xml:space="preserve">Quạt treo ASIAvina - VY357</t>
  </si>
  <si>
    <t xml:space="preserve">QUẠT SÀN TURBO VY616990</t>
  </si>
  <si>
    <t xml:space="preserve">QUẠT ĐỨNG VY619990</t>
  </si>
  <si>
    <t xml:space="preserve">Quạt đứng - TEFAL - VF4420</t>
  </si>
  <si>
    <t xml:space="preserve">QUẠT treo ASIAVINA TURBO V</t>
  </si>
  <si>
    <t xml:space="preserve">Quạt treo ASIAVINA - VY377</t>
  </si>
  <si>
    <t xml:space="preserve">QUẠT SÀN TURB0 VY616790</t>
  </si>
  <si>
    <t xml:space="preserve">—</t>
  </si>
  <si>
    <t xml:space="preserve">Quạt lửng ASIAvina - VY358</t>
  </si>
  <si>
    <t xml:space="preserve">Quạt treo ASIAVINA - VY617</t>
  </si>
  <si>
    <t xml:space="preserve">Quạt treo ASIAVINA VY35719</t>
  </si>
  <si>
    <t xml:space="preserve">Bàn ủi khô tích hợp bình x</t>
  </si>
  <si>
    <t xml:space="preserve">Màu: AX=ổn định (SS thấp) · AY=mùa vụ (SS vừa) · AZ=thất thường (SS cao nhất). σ ngày = σ tháng/√30 quy đổi biến động tháng sang ngày.</t>
  </si>
  <si>
    <t xml:space="preserve">Q2.2 (Task 5) — INVENTORY POOLING STRATEGY</t>
  </si>
  <si>
    <t xml:space="preserve">A.  MÔ HÌNH: VIRTUAL INVENTORY POOLING (không chia cứng kho vật lý)</t>
  </si>
  <si>
    <t xml:space="preserve">•  Không chia cứng kho vật lý cho từng kênh. Toàn bộ tồn của 1 SKU là một pool dùng chung.</t>
  </si>
  <si>
    <t xml:space="preserve">•  Quản lý chung trên hệ thống OMS + WMS: OMS nhìn tồn khả dụng theo kênh, WMS quản vị trí vật lý thực.</t>
  </si>
  <si>
    <t xml:space="preserve">•  Mỗi kênh có ĐIỂM ĐẶT HÀNG (ROP) riêng — pool chung nhưng ngưỡng cảnh báo tách theo kênh.</t>
  </si>
  <si>
    <t xml:space="preserve">•  Mã SKU đặt theo quy ước dễ tách kiện. Ví dụ: carton mã A1/6 = 1 thùng chứa 6 quạt → khi B2C thiếu, lấy 1 carton của B2B đưa sang khu tạm để TÁCH KIỆN thành hàng lẻ B2C.</t>
  </si>
  <si>
    <t xml:space="preserve">B.  ĐỊNH NGHĨA KÊNH (mấu chốt: Ecommerce là MT, không phải khách nhỏ lẻ)</t>
  </si>
  <si>
    <t xml:space="preserve">Pooling KHÔNG chia đơn giản 'B2B vs B2C'. Nhìn theo con mắt người kinh doanh: phân theo CỠ ACCOUNT + SLA. Ecommerce (Shopee/Lazada) tuy giao lẻ tới người mua nhưng bản chất là tài khoản LỚN → xếp vào Modern Trade, không phải khách nhỏ lẻ.</t>
  </si>
  <si>
    <t xml:space="preserve">Kênh</t>
  </si>
  <si>
    <t xml:space="preserve">Bản chất</t>
  </si>
  <si>
    <t xml:space="preserve">Xếp nhóm</t>
  </si>
  <si>
    <t xml:space="preserve">Đặc điểm tồn kho</t>
  </si>
  <si>
    <t xml:space="preserve">SLA</t>
  </si>
  <si>
    <t xml:space="preserve">Siêu thị (MT)</t>
  </si>
  <si>
    <t xml:space="preserve">Co.op, Lotte, AEON, Big C, ĐMX, TGDĐ</t>
  </si>
  <si>
    <t xml:space="preserve">Modern Trade</t>
  </si>
  <si>
    <t xml:space="preserve">Đơn lớn, pallet, hợp đồng cam kết</t>
  </si>
  <si>
    <t xml:space="preserve">Chặt, theo booking window</t>
  </si>
  <si>
    <t xml:space="preserve">Ecommerce</t>
  </si>
  <si>
    <t xml:space="preserve">Shopee, Lazada, Tiki, TikTok Shop</t>
  </si>
  <si>
    <t xml:space="preserve">Modern Trade (account lớn)</t>
  </si>
  <si>
    <t xml:space="preserve">Giao lẻ nhưng volume lớn, ổn định</t>
  </si>
  <si>
    <t xml:space="preserve">2-4h (B2C) nhưng size lớn</t>
  </si>
  <si>
    <t xml:space="preserve">Traditional Trade</t>
  </si>
  <si>
    <t xml:space="preserve">Đại lý, NPP nhỏ, cửa hàng lẻ</t>
  </si>
  <si>
    <t xml:space="preserve">Đơn nhỏ, lẻ, phân mảnh</t>
  </si>
  <si>
    <t xml:space="preserve">2-4 ngày, linh hoạt</t>
  </si>
  <si>
    <t xml:space="preserve">C.  LOGIC PHÂN BỔ KHI THIẾU HÀNG (ưu tiên theo cỡ account + SLA)</t>
  </si>
  <si>
    <t xml:space="preserve">Nguyên tắc người kinh doanh: KHÔNG để dành stock của account nhỏ cho account to bị thiếu. Khi pool không đủ, phân bổ theo thứ tự ưu tiên dưới đây — account to + SLA gắt được phục vụ trước.</t>
  </si>
  <si>
    <t xml:space="preserve">Ưu tiên</t>
  </si>
  <si>
    <t xml:space="preserve">Đối tượng</t>
  </si>
  <si>
    <t xml:space="preserve">Lý do ưu tiên</t>
  </si>
  <si>
    <t xml:space="preserve">1</t>
  </si>
  <si>
    <t xml:space="preserve">MT lớn — Siêu thị (vd: hợp đồng Điện Máy Xanh, TGDĐ ~23,765 pcs)</t>
  </si>
  <si>
    <t xml:space="preserve">Hợp đồng lớn, có cam kết &amp; phạt SLA. Mất đơn = mất doanh thu lớn + phạt.</t>
  </si>
  <si>
    <t xml:space="preserve">2</t>
  </si>
  <si>
    <t xml:space="preserve">MT — Ecommerce (Shopee/Lazada)</t>
  </si>
  <si>
    <t xml:space="preserve">Account lớn, SLA gắt 2-4h, ảnh hưởng rating/visibility sàn. Size lớn hơn TT.</t>
  </si>
  <si>
    <t xml:space="preserve">3</t>
  </si>
  <si>
    <t xml:space="preserve">TT lớn (vd: NPP TUVINA ~13,879 pcs)</t>
  </si>
  <si>
    <t xml:space="preserve">Đại lý/NPP volume cao, ổn định, quan hệ dài hạn.</t>
  </si>
  <si>
    <t xml:space="preserve">4</t>
  </si>
  <si>
    <t xml:space="preserve">TT nhỏ / khách lẻ</t>
  </si>
  <si>
    <t xml:space="preserve">Đơn nhỏ, linh hoạt, SLA rộng (2-4 ngày) → chịu được delay, phục vụ sau cùng.</t>
  </si>
  <si>
    <t xml:space="preserve">Quy tắc tie-break khi cùng nhóm: (1) SLA gắt hơn ưu tiên trước; (2) hợp đồng/account lớn hơn ưu tiên trước; (3) đơn đã xác nhận (confirmed PO) trước đơn dự báo.</t>
  </si>
  <si>
    <t xml:space="preserve">D.  CƠ CHẾ VẬN HÀNH &amp; CHỐNG STOCKOUT ĐỒNG THỜI</t>
  </si>
  <si>
    <t xml:space="preserve">Điểm đặt hàng riêng từng kênh</t>
  </si>
  <si>
    <t xml:space="preserve">Mỗi kênh (MT/Ecom/TT) có ROP riêng trên pool chung. Chạm ROD kênh nào → trigger bổ sung cho kênh đó, không đợi kênh khác.</t>
  </si>
  <si>
    <t xml:space="preserve">Báo động (Alert)</t>
  </si>
  <si>
    <t xml:space="preserve">Khi pool &lt; tổng ROP các kênh: cảnh báo Amber. Khi pool &lt; SS tổng: cảnh báo Red → kích hoạt phân bổ ưu tiên ở mục C + emergency PO.</t>
  </si>
  <si>
    <t xml:space="preserve">Tách kiện khi B2C/Ecom thiếu</t>
  </si>
  <si>
    <t xml:space="preserve">Lấy carton nguyên của B2B (mã A1/6) đưa sang khu tạm, tách thành hàng lẻ cho Ecommerce/B2C. Pool ảo cho phép điều này không cần kho riêng.</t>
  </si>
  <si>
    <t xml:space="preserve">Tái cân bằng cuối ngày</t>
  </si>
  <si>
    <t xml:space="preserve">Cuối ngày rebalance tồn ảo về tỷ lệ ROP mục tiêu của từng kênh, dựa trên forecast 7 ngày + lịch giao hợp đồng MT đã chốt.</t>
  </si>
  <si>
    <t xml:space="preserve">E.  ĐỊNH LƯỢNG: Virtual pooling giảm safety stock</t>
  </si>
  <si>
    <t xml:space="preserve">Tách riêng: SS=Z×σ×(√5+√2)=Z×σ×3.650. Gộp pool: SS=Z×σ×√3.5=Z×σ×1.871. Hệ số giảm √3.5/(√5+√2)=0.5125 → pooling giảm ~48.7% safety stock. Rủi ro các kênh bù trừ nhau nên giữ ít tồn hơn mà vẫn cùng mức phục vụ.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</si>
</sst>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1A527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1A527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7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BDD7EE"/>
        <bgColor rgb="FFD0D0D0"/>
      </patternFill>
    </fill>
    <fill>
      <patternFill patternType="solid">
        <fgColor rgb="FFEBF4F9"/>
        <bgColor rgb="FFF0EBF9"/>
      </patternFill>
    </fill>
    <fill>
      <patternFill patternType="solid">
        <fgColor rgb="FF2E5496"/>
        <bgColor rgb="FF1A5276"/>
      </patternFill>
    </fill>
    <fill>
      <patternFill patternType="solid">
        <fgColor rgb="FFE2EFDA"/>
        <bgColor rgb="FFD9F2EE"/>
      </patternFill>
    </fill>
    <fill>
      <patternFill patternType="solid">
        <fgColor rgb="FFFCE4D6"/>
        <bgColor rgb="FFF2DCDB"/>
      </patternFill>
    </fill>
    <fill>
      <patternFill patternType="solid">
        <fgColor rgb="FFFFF9E6"/>
        <bgColor rgb="FFFFFFFF"/>
      </patternFill>
    </fill>
    <fill>
      <patternFill patternType="solid">
        <fgColor rgb="FFF2DCDB"/>
        <bgColor rgb="FFFCE4D6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FFF9E6"/>
      </patternFill>
    </fill>
    <fill>
      <patternFill patternType="solid">
        <fgColor rgb="FFD9F2EE"/>
        <bgColor rgb="FFDEEAF1"/>
      </patternFill>
    </fill>
    <fill>
      <patternFill patternType="solid">
        <fgColor rgb="FFFFFFFF"/>
        <bgColor rgb="FFFFF9E6"/>
      </patternFill>
    </fill>
    <fill>
      <patternFill patternType="solid">
        <fgColor rgb="FFDEEAF1"/>
        <bgColor rgb="FFD6E4F0"/>
      </patternFill>
    </fill>
    <fill>
      <patternFill patternType="solid">
        <fgColor rgb="FFF0EBF9"/>
        <bgColor rgb="FFEBF4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0EB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78787"/>
      <rgbColor rgb="FFDEEAF1"/>
      <rgbColor rgb="FF993366"/>
      <rgbColor rgb="FFFFF9E6"/>
      <rgbColor rgb="FFD9F2EE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9"/>
      <rgbColor rgb="FFE2EFDA"/>
      <rgbColor rgb="FFFFF2CC"/>
      <rgbColor rgb="FFD6E4F0"/>
      <rgbColor rgb="FFFCE4D6"/>
      <rgbColor rgb="FFD9D9D9"/>
      <rgbColor rgb="FFF2DCDB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A52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time theo vùng + trọng số đơn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'Lead Time theo Vùng'!D9</c:f>
              <c:strCache>
                <c:ptCount val="1"/>
                <c:pt idx="0">
                  <c:v>Lead Time
(ngày)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'Lead Time theo Vùng'!$B$10:$B$15</c:f>
              <c:strCache>
                <c:ptCount val="6"/>
                <c:pt idx="0">
                  <c:v>Đông Nam Bộ</c:v>
                </c:pt>
                <c:pt idx="1">
                  <c:v>Bắc Trung Bộ và Duyên hải miền Trung</c:v>
                </c:pt>
                <c:pt idx="2">
                  <c:v>Đồng bằng sông Cửu Long</c:v>
                </c:pt>
                <c:pt idx="3">
                  <c:v>Đồng bằng sông Hồng</c:v>
                </c:pt>
                <c:pt idx="4">
                  <c:v>Tây Nguyên</c:v>
                </c:pt>
                <c:pt idx="5">
                  <c:v>Trung du và miền núi phía Bắc</c:v>
                </c:pt>
              </c:strCache>
            </c:strRef>
          </c:cat>
          <c:val>
            <c:numRef>
              <c:f>'Lead Time theo Vùng'!$D$10:$D$15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35351161"/>
        <c:axId val="28774564"/>
      </c:barChart>
      <c:catAx>
        <c:axId val="353511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74564"/>
        <c:crosses val="autoZero"/>
        <c:auto val="1"/>
        <c:lblAlgn val="ctr"/>
        <c:lblOffset val="100"/>
        <c:noMultiLvlLbl val="0"/>
      </c:catAx>
      <c:valAx>
        <c:axId val="28774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511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8</xdr:row>
      <xdr:rowOff>0</xdr:rowOff>
    </xdr:from>
    <xdr:to>
      <xdr:col>17</xdr:col>
      <xdr:colOff>289440</xdr:colOff>
      <xdr:row>19</xdr:row>
      <xdr:rowOff>154440</xdr:rowOff>
    </xdr:to>
    <xdr:graphicFrame>
      <xdr:nvGraphicFramePr>
        <xdr:cNvPr id="0" name="Chart 1"/>
        <xdr:cNvGraphicFramePr/>
      </xdr:nvGraphicFramePr>
      <xdr:xfrm>
        <a:off x="9704160" y="2495520"/>
        <a:ext cx="395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7" min="5" style="1" width="9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22"/>
  </cols>
  <sheetData>
    <row r="1" customFormat="false" ht="27.7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27.75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  <c r="J4" s="4"/>
    </row>
    <row r="5" customFormat="false" ht="27.7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</row>
    <row r="6" customFormat="false" ht="39.75" hidden="false" customHeight="true" outlineLevel="0" collapsed="false">
      <c r="B6" s="4" t="s">
        <v>4</v>
      </c>
      <c r="C6" s="4"/>
      <c r="D6" s="4"/>
      <c r="E6" s="4"/>
      <c r="F6" s="4"/>
      <c r="G6" s="4"/>
      <c r="H6" s="4"/>
      <c r="I6" s="4"/>
      <c r="J6" s="4"/>
    </row>
    <row r="8" customFormat="false" ht="21.75" hidden="false" customHeight="true" outlineLevel="0" collapsed="false">
      <c r="B8" s="3" t="s">
        <v>5</v>
      </c>
      <c r="C8" s="3"/>
      <c r="D8" s="3"/>
      <c r="E8" s="3"/>
      <c r="F8" s="3"/>
      <c r="G8" s="3"/>
      <c r="H8" s="3"/>
      <c r="I8" s="3"/>
      <c r="J8" s="3"/>
    </row>
    <row r="9" customFormat="false" ht="30" hidden="false" customHeight="true" outlineLevel="0" collapsed="false"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</row>
    <row r="10" customFormat="false" ht="18" hidden="false" customHeight="true" outlineLevel="0" collapsed="false">
      <c r="B10" s="6" t="s">
        <v>14</v>
      </c>
      <c r="C10" s="7" t="s">
        <v>15</v>
      </c>
      <c r="D10" s="8" t="n">
        <v>1</v>
      </c>
      <c r="E10" s="9" t="n">
        <v>2614</v>
      </c>
      <c r="F10" s="10" t="n">
        <f aca="false">E10/SUM(E10:E15)</f>
        <v>0.490063742032246</v>
      </c>
      <c r="G10" s="9" t="n">
        <v>127502</v>
      </c>
      <c r="H10" s="9" t="n">
        <f aca="false">D10*E10</f>
        <v>2614</v>
      </c>
      <c r="I10" s="7" t="s">
        <v>16</v>
      </c>
    </row>
    <row r="11" customFormat="false" ht="18" hidden="false" customHeight="true" outlineLevel="0" collapsed="false">
      <c r="B11" s="11" t="s">
        <v>17</v>
      </c>
      <c r="C11" s="12" t="s">
        <v>18</v>
      </c>
      <c r="D11" s="13" t="n">
        <v>3</v>
      </c>
      <c r="E11" s="14" t="n">
        <v>1027</v>
      </c>
      <c r="F11" s="15" t="n">
        <f aca="false">E11/SUM(E10:E15)</f>
        <v>0.192538432695913</v>
      </c>
      <c r="G11" s="14" t="n">
        <v>67606</v>
      </c>
      <c r="H11" s="14" t="n">
        <f aca="false">D11*E11</f>
        <v>3081</v>
      </c>
      <c r="I11" s="12" t="s">
        <v>19</v>
      </c>
    </row>
    <row r="12" customFormat="false" ht="18" hidden="false" customHeight="true" outlineLevel="0" collapsed="false">
      <c r="B12" s="16" t="s">
        <v>20</v>
      </c>
      <c r="C12" s="17" t="s">
        <v>21</v>
      </c>
      <c r="D12" s="18" t="n">
        <v>2</v>
      </c>
      <c r="E12" s="19" t="n">
        <v>800</v>
      </c>
      <c r="F12" s="20" t="n">
        <f aca="false">E12/SUM(E10:E15)</f>
        <v>0.149981252343457</v>
      </c>
      <c r="G12" s="19" t="n">
        <v>40204</v>
      </c>
      <c r="H12" s="19" t="n">
        <f aca="false">D12*E12</f>
        <v>1600</v>
      </c>
      <c r="I12" s="17" t="s">
        <v>22</v>
      </c>
    </row>
    <row r="13" customFormat="false" ht="18" hidden="false" customHeight="true" outlineLevel="0" collapsed="false">
      <c r="B13" s="21" t="s">
        <v>23</v>
      </c>
      <c r="C13" s="22" t="s">
        <v>24</v>
      </c>
      <c r="D13" s="23" t="n">
        <v>4</v>
      </c>
      <c r="E13" s="24" t="n">
        <v>503</v>
      </c>
      <c r="F13" s="25" t="n">
        <f aca="false">E13/SUM(E10:E15)</f>
        <v>0.0943007124109486</v>
      </c>
      <c r="G13" s="24" t="n">
        <v>22032</v>
      </c>
      <c r="H13" s="24" t="n">
        <f aca="false">D13*E13</f>
        <v>2012</v>
      </c>
      <c r="I13" s="22" t="s">
        <v>25</v>
      </c>
    </row>
    <row r="14" customFormat="false" ht="18" hidden="false" customHeight="true" outlineLevel="0" collapsed="false">
      <c r="B14" s="16" t="s">
        <v>26</v>
      </c>
      <c r="C14" s="17" t="s">
        <v>27</v>
      </c>
      <c r="D14" s="18" t="n">
        <v>2</v>
      </c>
      <c r="E14" s="19" t="n">
        <v>247</v>
      </c>
      <c r="F14" s="20" t="n">
        <f aca="false">E14/SUM(E10:E15)</f>
        <v>0.0463067116610424</v>
      </c>
      <c r="G14" s="19" t="n">
        <v>6553</v>
      </c>
      <c r="H14" s="19" t="n">
        <f aca="false">D14*E14</f>
        <v>494</v>
      </c>
      <c r="I14" s="17" t="s">
        <v>28</v>
      </c>
    </row>
    <row r="15" customFormat="false" ht="18" hidden="false" customHeight="true" outlineLevel="0" collapsed="false">
      <c r="B15" s="21" t="s">
        <v>29</v>
      </c>
      <c r="C15" s="22" t="s">
        <v>30</v>
      </c>
      <c r="D15" s="23" t="n">
        <v>4</v>
      </c>
      <c r="E15" s="24" t="n">
        <v>143</v>
      </c>
      <c r="F15" s="25" t="n">
        <f aca="false">E15/SUM(E10:E15)</f>
        <v>0.026809148856393</v>
      </c>
      <c r="G15" s="24" t="n">
        <v>3200</v>
      </c>
      <c r="H15" s="24" t="n">
        <f aca="false">D15*E15</f>
        <v>572</v>
      </c>
      <c r="I15" s="22" t="s">
        <v>25</v>
      </c>
    </row>
    <row r="16" customFormat="false" ht="18" hidden="false" customHeight="true" outlineLevel="0" collapsed="false">
      <c r="B16" s="26" t="s">
        <v>31</v>
      </c>
      <c r="C16" s="26"/>
      <c r="D16" s="27"/>
      <c r="E16" s="28" t="n">
        <f aca="false">SUM(E10:E15)</f>
        <v>5334</v>
      </c>
      <c r="G16" s="28" t="n">
        <f aca="false">SUM(G10:G15)</f>
        <v>267097</v>
      </c>
      <c r="H16" s="28" t="n">
        <f aca="false">SUM(H10:H15)</f>
        <v>10373</v>
      </c>
    </row>
    <row r="18" customFormat="false" ht="21.75" hidden="false" customHeight="true" outlineLevel="0" collapsed="false">
      <c r="B18" s="3" t="s">
        <v>32</v>
      </c>
      <c r="C18" s="3"/>
      <c r="D18" s="3"/>
      <c r="E18" s="3"/>
      <c r="F18" s="3"/>
      <c r="G18" s="3"/>
      <c r="H18" s="3"/>
      <c r="I18" s="3"/>
      <c r="J18" s="3"/>
    </row>
    <row r="19" customFormat="false" ht="21.75" hidden="false" customHeight="true" outlineLevel="0" collapsed="false">
      <c r="B19" s="29" t="s">
        <v>33</v>
      </c>
      <c r="C19" s="29"/>
      <c r="D19" s="29"/>
      <c r="E19" s="30" t="n">
        <f aca="false">H16/E16</f>
        <v>1.94469441319835</v>
      </c>
      <c r="F19" s="31" t="s">
        <v>34</v>
      </c>
      <c r="G19" s="31"/>
      <c r="H19" s="31"/>
      <c r="I19" s="31"/>
    </row>
    <row r="20" customFormat="false" ht="39.75" hidden="false" customHeight="true" outlineLevel="0" collapsed="false">
      <c r="B20" s="4" t="s">
        <v>35</v>
      </c>
      <c r="C20" s="4"/>
      <c r="D20" s="4"/>
      <c r="E20" s="4"/>
      <c r="F20" s="4"/>
      <c r="G20" s="4"/>
      <c r="H20" s="4"/>
      <c r="I20" s="4"/>
      <c r="J20" s="4"/>
    </row>
  </sheetData>
  <mergeCells count="11">
    <mergeCell ref="B1:J1"/>
    <mergeCell ref="B3:J3"/>
    <mergeCell ref="B4:J4"/>
    <mergeCell ref="B5:J5"/>
    <mergeCell ref="B6:J6"/>
    <mergeCell ref="B8:J8"/>
    <mergeCell ref="B16:C16"/>
    <mergeCell ref="B18:J18"/>
    <mergeCell ref="B19:D19"/>
    <mergeCell ref="F19:I19"/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7" min="5" style="1" width="8"/>
    <col collapsed="false" customWidth="true" hidden="false" outlineLevel="0" max="9" min="8" style="1" width="7"/>
    <col collapsed="false" customWidth="true" hidden="false" outlineLevel="0" max="10" min="10" style="1" width="6"/>
    <col collapsed="false" customWidth="true" hidden="false" outlineLevel="0" max="11" min="11" style="1" width="7"/>
    <col collapsed="false" customWidth="true" hidden="false" outlineLevel="0" max="12" min="12" style="1" width="11"/>
  </cols>
  <sheetData>
    <row r="1" customFormat="false" ht="27.75" hidden="false" customHeight="true" outlineLevel="0" collapsed="false">
      <c r="B1" s="2" t="s">
        <v>36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1.75" hidden="false" customHeight="true" outlineLevel="0" collapsed="false">
      <c r="B3" s="3" t="s">
        <v>37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7.75" hidden="false" customHeight="true" outlineLevel="0" collapsed="false">
      <c r="B4" s="4" t="s">
        <v>38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5.5" hidden="false" customHeight="true" outlineLevel="0" collapsed="false">
      <c r="B5" s="4" t="s">
        <v>39</v>
      </c>
      <c r="C5" s="4"/>
      <c r="D5" s="4"/>
      <c r="E5" s="4"/>
      <c r="F5" s="4"/>
      <c r="G5" s="4"/>
      <c r="H5" s="4"/>
      <c r="I5" s="4"/>
      <c r="J5" s="4"/>
      <c r="K5" s="4"/>
      <c r="L5" s="4"/>
    </row>
    <row r="7" customFormat="false" ht="25.5" hidden="false" customHeight="true" outlineLevel="0" collapsed="false">
      <c r="B7" s="32" t="s">
        <v>40</v>
      </c>
      <c r="C7" s="32" t="s">
        <v>41</v>
      </c>
      <c r="D7" s="32" t="s">
        <v>42</v>
      </c>
      <c r="E7" s="32" t="s">
        <v>43</v>
      </c>
      <c r="F7" s="32" t="s">
        <v>44</v>
      </c>
      <c r="G7" s="32" t="s">
        <v>45</v>
      </c>
      <c r="H7" s="32" t="s">
        <v>46</v>
      </c>
      <c r="I7" s="32" t="s">
        <v>47</v>
      </c>
      <c r="J7" s="32" t="s">
        <v>48</v>
      </c>
      <c r="K7" s="32" t="s">
        <v>49</v>
      </c>
      <c r="L7" s="32" t="s">
        <v>50</v>
      </c>
    </row>
    <row r="8" customFormat="false" ht="12.75" hidden="false" customHeight="true" outlineLevel="0" collapsed="false">
      <c r="B8" s="33" t="n">
        <v>4200009163</v>
      </c>
      <c r="C8" s="34" t="s">
        <v>51</v>
      </c>
      <c r="D8" s="35" t="s">
        <v>52</v>
      </c>
      <c r="E8" s="36" t="n">
        <v>7738</v>
      </c>
      <c r="F8" s="36" t="n">
        <v>7579</v>
      </c>
      <c r="G8" s="37" t="n">
        <f aca="false">E8/30</f>
        <v>257.933333333333</v>
      </c>
      <c r="H8" s="37" t="n">
        <f aca="false">F8/SQRT(30)</f>
        <v>1383.72975444388</v>
      </c>
      <c r="I8" s="38" t="n">
        <v>1.645</v>
      </c>
      <c r="J8" s="38" t="n">
        <v>1.393</v>
      </c>
      <c r="K8" s="39" t="n">
        <f aca="false">I8*H8*J8</f>
        <v>3170.79597636185</v>
      </c>
      <c r="L8" s="36" t="n">
        <f aca="false">G8*1.94+K8</f>
        <v>3671.18664302851</v>
      </c>
    </row>
    <row r="9" customFormat="false" ht="12.75" hidden="false" customHeight="true" outlineLevel="0" collapsed="false">
      <c r="B9" s="40" t="n">
        <v>4200009000</v>
      </c>
      <c r="C9" s="41" t="s">
        <v>53</v>
      </c>
      <c r="D9" s="42" t="s">
        <v>54</v>
      </c>
      <c r="E9" s="14" t="n">
        <v>1933</v>
      </c>
      <c r="F9" s="14" t="n">
        <v>2352</v>
      </c>
      <c r="G9" s="43" t="n">
        <f aca="false">E9/30</f>
        <v>64.4333333333333</v>
      </c>
      <c r="H9" s="43" t="n">
        <f aca="false">F9/SQRT(30)</f>
        <v>429.41448508405</v>
      </c>
      <c r="I9" s="44" t="n">
        <v>1.645</v>
      </c>
      <c r="J9" s="44" t="n">
        <v>1.393</v>
      </c>
      <c r="K9" s="45" t="n">
        <f aca="false">I9*H9*J9</f>
        <v>983.996851352825</v>
      </c>
      <c r="L9" s="14" t="n">
        <f aca="false">G9*1.94+K9</f>
        <v>1108.99751801949</v>
      </c>
    </row>
    <row r="10" customFormat="false" ht="12.75" hidden="false" customHeight="true" outlineLevel="0" collapsed="false">
      <c r="B10" s="40" t="n">
        <v>4200008102</v>
      </c>
      <c r="C10" s="41" t="s">
        <v>55</v>
      </c>
      <c r="D10" s="42" t="s">
        <v>54</v>
      </c>
      <c r="E10" s="14" t="n">
        <v>1811</v>
      </c>
      <c r="F10" s="14" t="n">
        <v>2781</v>
      </c>
      <c r="G10" s="43" t="n">
        <f aca="false">E10/30</f>
        <v>60.3666666666667</v>
      </c>
      <c r="H10" s="43" t="n">
        <f aca="false">F10/SQRT(30)</f>
        <v>507.738810807289</v>
      </c>
      <c r="I10" s="44" t="n">
        <v>1.645</v>
      </c>
      <c r="J10" s="44" t="n">
        <v>1.393</v>
      </c>
      <c r="K10" s="45" t="n">
        <f aca="false">I10*H10*J10</f>
        <v>1163.47586888274</v>
      </c>
      <c r="L10" s="14" t="n">
        <f aca="false">G10*1.94+K10</f>
        <v>1280.58720221607</v>
      </c>
    </row>
    <row r="11" customFormat="false" ht="12.75" hidden="false" customHeight="true" outlineLevel="0" collapsed="false">
      <c r="B11" s="33" t="n">
        <v>4200000163</v>
      </c>
      <c r="C11" s="34" t="s">
        <v>56</v>
      </c>
      <c r="D11" s="35" t="s">
        <v>52</v>
      </c>
      <c r="E11" s="36" t="n">
        <v>1531</v>
      </c>
      <c r="F11" s="36" t="n">
        <v>1318</v>
      </c>
      <c r="G11" s="37" t="n">
        <f aca="false">E11/30</f>
        <v>51.0333333333333</v>
      </c>
      <c r="H11" s="37" t="n">
        <f aca="false">F11/SQRT(30)</f>
        <v>240.632776930603</v>
      </c>
      <c r="I11" s="38" t="n">
        <v>1.645</v>
      </c>
      <c r="J11" s="38" t="n">
        <v>1.393</v>
      </c>
      <c r="K11" s="39" t="n">
        <f aca="false">I11*H11*J11</f>
        <v>551.406398844823</v>
      </c>
      <c r="L11" s="36" t="n">
        <f aca="false">G11*1.94+K11</f>
        <v>650.41106551149</v>
      </c>
    </row>
    <row r="12" customFormat="false" ht="12.75" hidden="false" customHeight="true" outlineLevel="0" collapsed="false">
      <c r="B12" s="33" t="n">
        <v>4200008999</v>
      </c>
      <c r="C12" s="34" t="s">
        <v>53</v>
      </c>
      <c r="D12" s="35" t="s">
        <v>52</v>
      </c>
      <c r="E12" s="36" t="n">
        <v>1334</v>
      </c>
      <c r="F12" s="36" t="n">
        <v>1124</v>
      </c>
      <c r="G12" s="37" t="n">
        <f aca="false">E12/30</f>
        <v>44.4666666666667</v>
      </c>
      <c r="H12" s="37" t="n">
        <f aca="false">F12/SQRT(30)</f>
        <v>205.213384878602</v>
      </c>
      <c r="I12" s="38" t="n">
        <v>1.645</v>
      </c>
      <c r="J12" s="38" t="n">
        <v>1.393</v>
      </c>
      <c r="K12" s="39" t="n">
        <f aca="false">I12*H12*J12</f>
        <v>470.243393248544</v>
      </c>
      <c r="L12" s="36" t="n">
        <f aca="false">G12*1.94+K12</f>
        <v>556.508726581877</v>
      </c>
    </row>
    <row r="13" customFormat="false" ht="12.75" hidden="false" customHeight="true" outlineLevel="0" collapsed="false">
      <c r="B13" s="33" t="n">
        <v>4200007858</v>
      </c>
      <c r="C13" s="34" t="s">
        <v>57</v>
      </c>
      <c r="D13" s="35" t="s">
        <v>52</v>
      </c>
      <c r="E13" s="36" t="n">
        <v>1067</v>
      </c>
      <c r="F13" s="36" t="n">
        <v>647</v>
      </c>
      <c r="G13" s="37" t="n">
        <f aca="false">E13/30</f>
        <v>35.5666666666667</v>
      </c>
      <c r="H13" s="37" t="n">
        <f aca="false">F13/SQRT(30)</f>
        <v>118.125498235281</v>
      </c>
      <c r="I13" s="38" t="n">
        <v>1.645</v>
      </c>
      <c r="J13" s="38" t="n">
        <v>1.393</v>
      </c>
      <c r="K13" s="39" t="n">
        <f aca="false">I13*H13*J13</f>
        <v>270.682807323673</v>
      </c>
      <c r="L13" s="36" t="n">
        <f aca="false">G13*1.94+K13</f>
        <v>339.682140657006</v>
      </c>
    </row>
    <row r="14" customFormat="false" ht="12.75" hidden="false" customHeight="true" outlineLevel="0" collapsed="false">
      <c r="B14" s="40" t="n">
        <v>4100000722</v>
      </c>
      <c r="C14" s="41" t="s">
        <v>58</v>
      </c>
      <c r="D14" s="42" t="s">
        <v>54</v>
      </c>
      <c r="E14" s="14" t="n">
        <v>994</v>
      </c>
      <c r="F14" s="14" t="n">
        <v>1522</v>
      </c>
      <c r="G14" s="43" t="n">
        <f aca="false">E14/30</f>
        <v>33.1333333333333</v>
      </c>
      <c r="H14" s="43" t="n">
        <f aca="false">F14/SQRT(30)</f>
        <v>277.877910840954</v>
      </c>
      <c r="I14" s="44" t="n">
        <v>1.645</v>
      </c>
      <c r="J14" s="44" t="n">
        <v>1.393</v>
      </c>
      <c r="K14" s="45" t="n">
        <f aca="false">I14*H14*J14</f>
        <v>636.753064523384</v>
      </c>
      <c r="L14" s="14" t="n">
        <f aca="false">G14*1.94+K14</f>
        <v>701.031731190051</v>
      </c>
    </row>
    <row r="15" customFormat="false" ht="12.75" hidden="false" customHeight="true" outlineLevel="0" collapsed="false">
      <c r="B15" s="33" t="n">
        <v>4200008101</v>
      </c>
      <c r="C15" s="34" t="s">
        <v>55</v>
      </c>
      <c r="D15" s="35" t="s">
        <v>52</v>
      </c>
      <c r="E15" s="36" t="n">
        <v>979</v>
      </c>
      <c r="F15" s="36" t="n">
        <v>752</v>
      </c>
      <c r="G15" s="37" t="n">
        <f aca="false">E15/30</f>
        <v>32.6333333333333</v>
      </c>
      <c r="H15" s="37" t="n">
        <f aca="false">F15/SQRT(30)</f>
        <v>137.295787747962</v>
      </c>
      <c r="I15" s="38" t="n">
        <v>1.645</v>
      </c>
      <c r="J15" s="38" t="n">
        <v>1.393</v>
      </c>
      <c r="K15" s="39" t="n">
        <f aca="false">I15*H15*J15</f>
        <v>314.611238187638</v>
      </c>
      <c r="L15" s="36" t="n">
        <f aca="false">G15*1.94+K15</f>
        <v>377.919904854305</v>
      </c>
    </row>
    <row r="16" customFormat="false" ht="12.75" hidden="false" customHeight="true" outlineLevel="0" collapsed="false">
      <c r="B16" s="46" t="n">
        <v>4200008229</v>
      </c>
      <c r="C16" s="47" t="s">
        <v>59</v>
      </c>
      <c r="D16" s="48" t="s">
        <v>60</v>
      </c>
      <c r="E16" s="49" t="n">
        <v>801</v>
      </c>
      <c r="F16" s="49" t="n">
        <v>388</v>
      </c>
      <c r="G16" s="50" t="n">
        <f aca="false">E16/30</f>
        <v>26.7</v>
      </c>
      <c r="H16" s="50" t="n">
        <f aca="false">F16/SQRT(30)</f>
        <v>70.8387841040015</v>
      </c>
      <c r="I16" s="51" t="n">
        <v>1.645</v>
      </c>
      <c r="J16" s="51" t="n">
        <v>1.393</v>
      </c>
      <c r="K16" s="52" t="n">
        <f aca="false">I16*H16*J16</f>
        <v>162.326011192558</v>
      </c>
      <c r="L16" s="49" t="n">
        <f aca="false">G16*1.94+K16</f>
        <v>214.124011192558</v>
      </c>
    </row>
    <row r="17" customFormat="false" ht="12.75" hidden="false" customHeight="true" outlineLevel="0" collapsed="false">
      <c r="B17" s="33" t="n">
        <v>4200009001</v>
      </c>
      <c r="C17" s="34" t="s">
        <v>61</v>
      </c>
      <c r="D17" s="35" t="s">
        <v>52</v>
      </c>
      <c r="E17" s="36" t="n">
        <v>763</v>
      </c>
      <c r="F17" s="36" t="n">
        <v>617</v>
      </c>
      <c r="G17" s="37" t="n">
        <f aca="false">E17/30</f>
        <v>25.4333333333333</v>
      </c>
      <c r="H17" s="37" t="n">
        <f aca="false">F17/SQRT(30)</f>
        <v>112.648272660229</v>
      </c>
      <c r="I17" s="38" t="n">
        <v>1.645</v>
      </c>
      <c r="J17" s="38" t="n">
        <v>1.393</v>
      </c>
      <c r="K17" s="39" t="n">
        <f aca="false">I17*H17*J17</f>
        <v>258.131827076825</v>
      </c>
      <c r="L17" s="36" t="n">
        <f aca="false">G17*1.94+K17</f>
        <v>307.472493743492</v>
      </c>
    </row>
    <row r="18" customFormat="false" ht="12.75" hidden="false" customHeight="true" outlineLevel="0" collapsed="false">
      <c r="B18" s="40" t="n">
        <v>4200009382</v>
      </c>
      <c r="C18" s="41" t="s">
        <v>62</v>
      </c>
      <c r="D18" s="42" t="s">
        <v>54</v>
      </c>
      <c r="E18" s="14" t="n">
        <v>750</v>
      </c>
      <c r="F18" s="14" t="n">
        <v>914</v>
      </c>
      <c r="G18" s="43" t="n">
        <f aca="false">E18/30</f>
        <v>25</v>
      </c>
      <c r="H18" s="43" t="n">
        <f aca="false">F18/SQRT(30)</f>
        <v>166.872805853241</v>
      </c>
      <c r="I18" s="44" t="n">
        <v>1.645</v>
      </c>
      <c r="J18" s="44" t="n">
        <v>1.393</v>
      </c>
      <c r="K18" s="45" t="n">
        <f aca="false">I18*H18*J18</f>
        <v>382.386531520613</v>
      </c>
      <c r="L18" s="14" t="n">
        <f aca="false">G18*1.94+K18</f>
        <v>430.886531520613</v>
      </c>
    </row>
    <row r="19" customFormat="false" ht="12.75" hidden="false" customHeight="true" outlineLevel="0" collapsed="false">
      <c r="B19" s="40" t="n">
        <v>4200007859</v>
      </c>
      <c r="C19" s="41" t="s">
        <v>63</v>
      </c>
      <c r="D19" s="42" t="s">
        <v>54</v>
      </c>
      <c r="E19" s="14" t="n">
        <v>748</v>
      </c>
      <c r="F19" s="14" t="n">
        <v>767</v>
      </c>
      <c r="G19" s="43" t="n">
        <f aca="false">E19/30</f>
        <v>24.9333333333333</v>
      </c>
      <c r="H19" s="43" t="n">
        <f aca="false">F19/SQRT(30)</f>
        <v>140.034400535487</v>
      </c>
      <c r="I19" s="44" t="n">
        <v>1.645</v>
      </c>
      <c r="J19" s="44" t="n">
        <v>1.393</v>
      </c>
      <c r="K19" s="45" t="n">
        <f aca="false">I19*H19*J19</f>
        <v>320.886728311061</v>
      </c>
      <c r="L19" s="14" t="n">
        <f aca="false">G19*1.94+K19</f>
        <v>369.257394977728</v>
      </c>
    </row>
    <row r="20" customFormat="false" ht="12.75" hidden="false" customHeight="true" outlineLevel="0" collapsed="false">
      <c r="B20" s="33" t="n">
        <v>4200000164</v>
      </c>
      <c r="C20" s="34" t="s">
        <v>56</v>
      </c>
      <c r="D20" s="35" t="s">
        <v>52</v>
      </c>
      <c r="E20" s="36" t="n">
        <v>668</v>
      </c>
      <c r="F20" s="36" t="n">
        <v>524</v>
      </c>
      <c r="G20" s="37" t="n">
        <f aca="false">E20/30</f>
        <v>22.2666666666667</v>
      </c>
      <c r="H20" s="37" t="n">
        <f aca="false">F20/SQRT(30)</f>
        <v>95.668873377569</v>
      </c>
      <c r="I20" s="38" t="n">
        <v>1.645</v>
      </c>
      <c r="J20" s="38" t="n">
        <v>1.393</v>
      </c>
      <c r="K20" s="39" t="n">
        <f aca="false">I20*H20*J20</f>
        <v>219.223788311599</v>
      </c>
      <c r="L20" s="36" t="n">
        <f aca="false">G20*1.94+K20</f>
        <v>262.421121644932</v>
      </c>
    </row>
    <row r="21" customFormat="false" ht="12.75" hidden="false" customHeight="true" outlineLevel="0" collapsed="false">
      <c r="B21" s="40" t="n">
        <v>4200008737</v>
      </c>
      <c r="C21" s="41" t="s">
        <v>64</v>
      </c>
      <c r="D21" s="42" t="s">
        <v>54</v>
      </c>
      <c r="E21" s="14" t="n">
        <v>641</v>
      </c>
      <c r="F21" s="14" t="n">
        <v>670</v>
      </c>
      <c r="G21" s="43" t="n">
        <f aca="false">E21/30</f>
        <v>21.3666666666667</v>
      </c>
      <c r="H21" s="43" t="n">
        <f aca="false">F21/SQRT(30)</f>
        <v>122.324704509487</v>
      </c>
      <c r="I21" s="44" t="n">
        <v>1.645</v>
      </c>
      <c r="J21" s="44" t="n">
        <v>1.393</v>
      </c>
      <c r="K21" s="45" t="n">
        <f aca="false">I21*H21*J21</f>
        <v>280.305225512922</v>
      </c>
      <c r="L21" s="14" t="n">
        <f aca="false">G21*1.94+K21</f>
        <v>321.756558846255</v>
      </c>
    </row>
    <row r="22" customFormat="false" ht="12.75" hidden="false" customHeight="true" outlineLevel="0" collapsed="false">
      <c r="B22" s="40" t="n">
        <v>4200008113</v>
      </c>
      <c r="C22" s="41" t="s">
        <v>65</v>
      </c>
      <c r="D22" s="42" t="s">
        <v>54</v>
      </c>
      <c r="E22" s="14" t="n">
        <v>625</v>
      </c>
      <c r="F22" s="14" t="n">
        <v>673</v>
      </c>
      <c r="G22" s="43" t="n">
        <f aca="false">E22/30</f>
        <v>20.8333333333333</v>
      </c>
      <c r="H22" s="43" t="n">
        <f aca="false">F22/SQRT(30)</f>
        <v>122.872427066992</v>
      </c>
      <c r="I22" s="44" t="n">
        <v>1.645</v>
      </c>
      <c r="J22" s="44" t="n">
        <v>1.393</v>
      </c>
      <c r="K22" s="45" t="n">
        <f aca="false">I22*H22*J22</f>
        <v>281.560323537607</v>
      </c>
      <c r="L22" s="14" t="n">
        <f aca="false">G22*1.94+K22</f>
        <v>321.976990204274</v>
      </c>
    </row>
    <row r="23" customFormat="false" ht="12.75" hidden="false" customHeight="true" outlineLevel="0" collapsed="false">
      <c r="B23" s="33" t="n">
        <v>4200008117</v>
      </c>
      <c r="C23" s="34" t="s">
        <v>66</v>
      </c>
      <c r="D23" s="35" t="s">
        <v>52</v>
      </c>
      <c r="E23" s="36" t="n">
        <v>576</v>
      </c>
      <c r="F23" s="36" t="n">
        <v>319</v>
      </c>
      <c r="G23" s="37" t="n">
        <f aca="false">E23/30</f>
        <v>19.2</v>
      </c>
      <c r="H23" s="37" t="n">
        <f aca="false">F23/SQRT(30)</f>
        <v>58.2411652813827</v>
      </c>
      <c r="I23" s="38" t="n">
        <v>1.645</v>
      </c>
      <c r="J23" s="38" t="n">
        <v>1.393</v>
      </c>
      <c r="K23" s="39" t="n">
        <f aca="false">I23*H23*J23</f>
        <v>133.458756624809</v>
      </c>
      <c r="L23" s="36" t="n">
        <f aca="false">G23*1.94+K23</f>
        <v>170.706756624809</v>
      </c>
    </row>
    <row r="24" customFormat="false" ht="12.75" hidden="false" customHeight="true" outlineLevel="0" collapsed="false">
      <c r="B24" s="33" t="n">
        <v>4200008122</v>
      </c>
      <c r="C24" s="34" t="s">
        <v>59</v>
      </c>
      <c r="D24" s="35" t="s">
        <v>52</v>
      </c>
      <c r="E24" s="36" t="n">
        <v>562</v>
      </c>
      <c r="F24" s="36" t="n">
        <v>425</v>
      </c>
      <c r="G24" s="37" t="n">
        <f aca="false">E24/30</f>
        <v>18.7333333333333</v>
      </c>
      <c r="H24" s="37" t="n">
        <f aca="false">F24/SQRT(30)</f>
        <v>77.5940289798985</v>
      </c>
      <c r="I24" s="38" t="n">
        <v>1.645</v>
      </c>
      <c r="J24" s="38" t="n">
        <v>1.393</v>
      </c>
      <c r="K24" s="39" t="n">
        <f aca="false">I24*H24*J24</f>
        <v>177.805553497003</v>
      </c>
      <c r="L24" s="36" t="n">
        <f aca="false">G24*1.94+K24</f>
        <v>214.14822016367</v>
      </c>
    </row>
    <row r="25" customFormat="false" ht="12.75" hidden="false" customHeight="true" outlineLevel="0" collapsed="false">
      <c r="B25" s="33" t="n">
        <v>4200008372</v>
      </c>
      <c r="C25" s="34" t="s">
        <v>67</v>
      </c>
      <c r="D25" s="35" t="s">
        <v>52</v>
      </c>
      <c r="E25" s="36" t="n">
        <v>529</v>
      </c>
      <c r="F25" s="36" t="n">
        <v>382</v>
      </c>
      <c r="G25" s="37" t="n">
        <f aca="false">E25/30</f>
        <v>17.6333333333333</v>
      </c>
      <c r="H25" s="37" t="n">
        <f aca="false">F25/SQRT(30)</f>
        <v>69.7433389889912</v>
      </c>
      <c r="I25" s="38" t="n">
        <v>1.645</v>
      </c>
      <c r="J25" s="38" t="n">
        <v>1.393</v>
      </c>
      <c r="K25" s="39" t="n">
        <f aca="false">I25*H25*J25</f>
        <v>159.815815143188</v>
      </c>
      <c r="L25" s="36" t="n">
        <f aca="false">G25*1.94+K25</f>
        <v>194.024481809855</v>
      </c>
    </row>
    <row r="26" customFormat="false" ht="12.75" hidden="false" customHeight="true" outlineLevel="0" collapsed="false">
      <c r="B26" s="33" t="n">
        <v>4200008371</v>
      </c>
      <c r="C26" s="34" t="s">
        <v>68</v>
      </c>
      <c r="D26" s="35" t="s">
        <v>52</v>
      </c>
      <c r="E26" s="36" t="n">
        <v>479</v>
      </c>
      <c r="F26" s="36" t="n">
        <v>341</v>
      </c>
      <c r="G26" s="37" t="n">
        <f aca="false">E26/30</f>
        <v>15.9666666666667</v>
      </c>
      <c r="H26" s="37" t="n">
        <f aca="false">F26/SQRT(30)</f>
        <v>62.2577973697539</v>
      </c>
      <c r="I26" s="38" t="n">
        <v>1.645</v>
      </c>
      <c r="J26" s="38" t="n">
        <v>1.393</v>
      </c>
      <c r="K26" s="39" t="n">
        <f aca="false">I26*H26*J26</f>
        <v>142.66280880583</v>
      </c>
      <c r="L26" s="36" t="n">
        <f aca="false">G26*1.94+K26</f>
        <v>173.638142139164</v>
      </c>
    </row>
    <row r="27" customFormat="false" ht="12.75" hidden="false" customHeight="true" outlineLevel="0" collapsed="false">
      <c r="B27" s="40" t="n">
        <v>4100000738</v>
      </c>
      <c r="C27" s="41" t="s">
        <v>69</v>
      </c>
      <c r="D27" s="42" t="s">
        <v>54</v>
      </c>
      <c r="E27" s="14" t="n">
        <v>446</v>
      </c>
      <c r="F27" s="14" t="n">
        <v>468</v>
      </c>
      <c r="G27" s="43" t="n">
        <f aca="false">E27/30</f>
        <v>14.8666666666667</v>
      </c>
      <c r="H27" s="43" t="n">
        <f aca="false">F27/SQRT(30)</f>
        <v>85.4447189708059</v>
      </c>
      <c r="I27" s="44" t="n">
        <v>1.645</v>
      </c>
      <c r="J27" s="44" t="n">
        <v>1.393</v>
      </c>
      <c r="K27" s="45" t="n">
        <f aca="false">I27*H27*J27</f>
        <v>195.795291850817</v>
      </c>
      <c r="L27" s="14" t="n">
        <f aca="false">G27*1.94+K27</f>
        <v>224.636625184151</v>
      </c>
    </row>
    <row r="28" customFormat="false" ht="12.75" hidden="false" customHeight="true" outlineLevel="0" collapsed="false">
      <c r="B28" s="33" t="n">
        <v>4200009002</v>
      </c>
      <c r="C28" s="34" t="s">
        <v>70</v>
      </c>
      <c r="D28" s="35" t="s">
        <v>52</v>
      </c>
      <c r="E28" s="36" t="n">
        <v>428</v>
      </c>
      <c r="F28" s="36" t="n">
        <v>389</v>
      </c>
      <c r="G28" s="37" t="n">
        <f aca="false">E28/30</f>
        <v>14.2666666666667</v>
      </c>
      <c r="H28" s="37" t="n">
        <f aca="false">F28/SQRT(30)</f>
        <v>71.0213582898365</v>
      </c>
      <c r="I28" s="38" t="n">
        <v>1.645</v>
      </c>
      <c r="J28" s="38" t="n">
        <v>1.393</v>
      </c>
      <c r="K28" s="39" t="n">
        <f aca="false">I28*H28*J28</f>
        <v>162.744377200786</v>
      </c>
      <c r="L28" s="36" t="n">
        <f aca="false">G28*1.94+K28</f>
        <v>190.421710534119</v>
      </c>
    </row>
    <row r="29" customFormat="false" ht="12.75" hidden="false" customHeight="true" outlineLevel="0" collapsed="false">
      <c r="B29" s="33" t="n">
        <v>4200009023</v>
      </c>
      <c r="C29" s="34" t="s">
        <v>71</v>
      </c>
      <c r="D29" s="35" t="s">
        <v>52</v>
      </c>
      <c r="E29" s="36" t="n">
        <v>420</v>
      </c>
      <c r="F29" s="36" t="n">
        <v>407</v>
      </c>
      <c r="G29" s="37" t="n">
        <f aca="false">E29/30</f>
        <v>14</v>
      </c>
      <c r="H29" s="37" t="n">
        <f aca="false">F29/SQRT(30)</f>
        <v>74.3076936348675</v>
      </c>
      <c r="I29" s="38" t="n">
        <v>1.645</v>
      </c>
      <c r="J29" s="38" t="n">
        <v>1.393</v>
      </c>
      <c r="K29" s="39" t="n">
        <f aca="false">I29*H29*J29</f>
        <v>170.274965348894</v>
      </c>
      <c r="L29" s="36" t="n">
        <f aca="false">G29*1.94+K29</f>
        <v>197.434965348894</v>
      </c>
    </row>
    <row r="30" customFormat="false" ht="12.75" hidden="false" customHeight="true" outlineLevel="0" collapsed="false">
      <c r="B30" s="33" t="n">
        <v>4200008366</v>
      </c>
      <c r="C30" s="34" t="s">
        <v>72</v>
      </c>
      <c r="D30" s="35" t="s">
        <v>52</v>
      </c>
      <c r="E30" s="36" t="n">
        <v>405</v>
      </c>
      <c r="F30" s="36" t="n">
        <v>350</v>
      </c>
      <c r="G30" s="37" t="n">
        <f aca="false">E30/30</f>
        <v>13.5</v>
      </c>
      <c r="H30" s="37" t="n">
        <f aca="false">F30/SQRT(30)</f>
        <v>63.9009650422694</v>
      </c>
      <c r="I30" s="38" t="n">
        <v>1.645</v>
      </c>
      <c r="J30" s="38" t="n">
        <v>1.393</v>
      </c>
      <c r="K30" s="39" t="n">
        <f aca="false">I30*H30*J30</f>
        <v>146.428102879885</v>
      </c>
      <c r="L30" s="36" t="n">
        <f aca="false">G30*1.94+K30</f>
        <v>172.618102879885</v>
      </c>
    </row>
    <row r="31" customFormat="false" ht="12.75" hidden="false" customHeight="true" outlineLevel="0" collapsed="false">
      <c r="B31" s="40" t="n">
        <v>4100000838</v>
      </c>
      <c r="C31" s="41" t="s">
        <v>73</v>
      </c>
      <c r="D31" s="42" t="s">
        <v>54</v>
      </c>
      <c r="E31" s="14" t="n">
        <v>393</v>
      </c>
      <c r="F31" s="14" t="n">
        <v>1039</v>
      </c>
      <c r="G31" s="43" t="n">
        <f aca="false">E31/30</f>
        <v>13.1</v>
      </c>
      <c r="H31" s="43" t="n">
        <f aca="false">F31/SQRT(30)</f>
        <v>189.694579082623</v>
      </c>
      <c r="I31" s="44" t="n">
        <v>1.645</v>
      </c>
      <c r="J31" s="44" t="n">
        <v>1.393</v>
      </c>
      <c r="K31" s="45" t="n">
        <f aca="false">I31*H31*J31</f>
        <v>434.682282549143</v>
      </c>
      <c r="L31" s="14" t="n">
        <f aca="false">G31*1.94+K31</f>
        <v>460.096282549143</v>
      </c>
    </row>
    <row r="32" customFormat="false" ht="12.75" hidden="false" customHeight="true" outlineLevel="0" collapsed="false">
      <c r="B32" s="40" t="n">
        <v>4200009226</v>
      </c>
      <c r="C32" s="41" t="s">
        <v>74</v>
      </c>
      <c r="D32" s="42" t="s">
        <v>54</v>
      </c>
      <c r="E32" s="14" t="n">
        <v>384</v>
      </c>
      <c r="F32" s="14" t="n">
        <v>627</v>
      </c>
      <c r="G32" s="43" t="n">
        <f aca="false">E32/30</f>
        <v>12.8</v>
      </c>
      <c r="H32" s="43" t="n">
        <f aca="false">F32/SQRT(30)</f>
        <v>114.47401451858</v>
      </c>
      <c r="I32" s="44" t="n">
        <v>1.645</v>
      </c>
      <c r="J32" s="44" t="n">
        <v>1.393</v>
      </c>
      <c r="K32" s="45" t="n">
        <f aca="false">I32*H32*J32</f>
        <v>262.315487159108</v>
      </c>
      <c r="L32" s="14" t="n">
        <f aca="false">G32*1.94+K32</f>
        <v>287.147487159108</v>
      </c>
    </row>
    <row r="33" customFormat="false" ht="12.75" hidden="false" customHeight="true" outlineLevel="0" collapsed="false">
      <c r="B33" s="33" t="n">
        <v>4200009625</v>
      </c>
      <c r="C33" s="34" t="s">
        <v>75</v>
      </c>
      <c r="D33" s="35" t="s">
        <v>52</v>
      </c>
      <c r="E33" s="36" t="n">
        <v>369</v>
      </c>
      <c r="F33" s="36" t="n">
        <v>307</v>
      </c>
      <c r="G33" s="37" t="n">
        <f aca="false">E33/30</f>
        <v>12.3</v>
      </c>
      <c r="H33" s="37" t="n">
        <f aca="false">F33/SQRT(30)</f>
        <v>56.050275051362</v>
      </c>
      <c r="I33" s="38" t="n">
        <v>1.645</v>
      </c>
      <c r="J33" s="38" t="n">
        <v>1.393</v>
      </c>
      <c r="K33" s="39" t="n">
        <f aca="false">I33*H33*J33</f>
        <v>128.43836452607</v>
      </c>
      <c r="L33" s="36" t="n">
        <f aca="false">G33*1.94+K33</f>
        <v>152.30036452607</v>
      </c>
    </row>
    <row r="34" customFormat="false" ht="12.75" hidden="false" customHeight="true" outlineLevel="0" collapsed="false">
      <c r="B34" s="40" t="n">
        <v>4200008736</v>
      </c>
      <c r="C34" s="41" t="s">
        <v>76</v>
      </c>
      <c r="D34" s="42" t="s">
        <v>54</v>
      </c>
      <c r="E34" s="14" t="n">
        <v>363</v>
      </c>
      <c r="F34" s="14" t="n">
        <v>420</v>
      </c>
      <c r="G34" s="43" t="n">
        <f aca="false">E34/30</f>
        <v>12.1</v>
      </c>
      <c r="H34" s="43" t="n">
        <f aca="false">F34/SQRT(30)</f>
        <v>76.6811580507233</v>
      </c>
      <c r="I34" s="44" t="n">
        <v>1.645</v>
      </c>
      <c r="J34" s="44" t="n">
        <v>1.393</v>
      </c>
      <c r="K34" s="45" t="n">
        <f aca="false">I34*H34*J34</f>
        <v>175.713723455862</v>
      </c>
      <c r="L34" s="14" t="n">
        <f aca="false">G34*1.94+K34</f>
        <v>199.187723455862</v>
      </c>
    </row>
    <row r="35" customFormat="false" ht="12.75" hidden="false" customHeight="true" outlineLevel="0" collapsed="false">
      <c r="B35" s="40" t="n">
        <v>1830009179</v>
      </c>
      <c r="C35" s="41" t="s">
        <v>77</v>
      </c>
      <c r="D35" s="42" t="s">
        <v>54</v>
      </c>
      <c r="E35" s="14" t="n">
        <v>361</v>
      </c>
      <c r="F35" s="14" t="n">
        <v>954</v>
      </c>
      <c r="G35" s="43" t="n">
        <f aca="false">E35/30</f>
        <v>12.0333333333333</v>
      </c>
      <c r="H35" s="43" t="n">
        <f aca="false">F35/SQRT(30)</f>
        <v>174.175773286643</v>
      </c>
      <c r="I35" s="44" t="n">
        <v>1.645</v>
      </c>
      <c r="J35" s="44" t="n">
        <v>1.393</v>
      </c>
      <c r="K35" s="45" t="n">
        <f aca="false">I35*H35*J35</f>
        <v>399.121171849743</v>
      </c>
      <c r="L35" s="14" t="n">
        <f aca="false">G35*1.94+K35</f>
        <v>422.465838516409</v>
      </c>
    </row>
    <row r="36" customFormat="false" ht="18" hidden="false" customHeight="true" outlineLevel="0" collapsed="false">
      <c r="B36" s="26" t="s">
        <v>31</v>
      </c>
      <c r="C36" s="26"/>
      <c r="D36" s="26"/>
      <c r="E36" s="26"/>
      <c r="F36" s="26"/>
      <c r="G36" s="26"/>
      <c r="H36" s="26"/>
      <c r="I36" s="26"/>
      <c r="J36" s="26"/>
      <c r="K36" s="28" t="n">
        <f aca="false">SUM(K8:K35)</f>
        <v>12156.0427350798</v>
      </c>
    </row>
    <row r="38" customFormat="false" ht="24" hidden="false" customHeight="true" outlineLevel="0" collapsed="false">
      <c r="B38" s="53" t="s">
        <v>78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</row>
  </sheetData>
  <mergeCells count="6">
    <mergeCell ref="B1:L1"/>
    <mergeCell ref="B3:L3"/>
    <mergeCell ref="B4:L4"/>
    <mergeCell ref="B5:L5"/>
    <mergeCell ref="B36:J36"/>
    <mergeCell ref="B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12" min="6" style="0" width="9"/>
  </cols>
  <sheetData>
    <row r="1" customFormat="false" ht="27.75" hidden="false" customHeight="true" outlineLevel="0" collapsed="false">
      <c r="B1" s="2" t="s">
        <v>79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1.75" hidden="false" customHeight="true" outlineLevel="0" collapsed="false">
      <c r="B3" s="3" t="s">
        <v>80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5.5" hidden="false" customHeight="true" outlineLevel="0" collapsed="false">
      <c r="B4" s="54" t="s">
        <v>81</v>
      </c>
      <c r="C4" s="54"/>
      <c r="D4" s="54"/>
      <c r="E4" s="54"/>
      <c r="F4" s="54"/>
      <c r="G4" s="54"/>
      <c r="H4" s="54"/>
      <c r="I4" s="54"/>
      <c r="J4" s="54"/>
      <c r="K4" s="54"/>
      <c r="L4" s="54"/>
    </row>
    <row r="5" customFormat="false" ht="25.5" hidden="false" customHeight="true" outlineLevel="0" collapsed="false">
      <c r="B5" s="54" t="s">
        <v>82</v>
      </c>
      <c r="C5" s="54"/>
      <c r="D5" s="54"/>
      <c r="E5" s="54"/>
      <c r="F5" s="54"/>
      <c r="G5" s="54"/>
      <c r="H5" s="54"/>
      <c r="I5" s="54"/>
      <c r="J5" s="54"/>
      <c r="K5" s="54"/>
      <c r="L5" s="54"/>
    </row>
    <row r="6" customFormat="false" ht="25.5" hidden="false" customHeight="true" outlineLevel="0" collapsed="false">
      <c r="B6" s="54" t="s">
        <v>83</v>
      </c>
      <c r="C6" s="54"/>
      <c r="D6" s="54"/>
      <c r="E6" s="54"/>
      <c r="F6" s="54"/>
      <c r="G6" s="54"/>
      <c r="H6" s="54"/>
      <c r="I6" s="54"/>
      <c r="J6" s="54"/>
      <c r="K6" s="54"/>
      <c r="L6" s="54"/>
    </row>
    <row r="7" customFormat="false" ht="25.5" hidden="false" customHeight="true" outlineLevel="0" collapsed="false">
      <c r="B7" s="54" t="s">
        <v>84</v>
      </c>
      <c r="C7" s="54"/>
      <c r="D7" s="54"/>
      <c r="E7" s="54"/>
      <c r="F7" s="54"/>
      <c r="G7" s="54"/>
      <c r="H7" s="54"/>
      <c r="I7" s="54"/>
      <c r="J7" s="54"/>
      <c r="K7" s="54"/>
      <c r="L7" s="54"/>
    </row>
    <row r="8" customFormat="false" ht="21.75" hidden="false" customHeight="true" outlineLevel="0" collapsed="false">
      <c r="B8" s="3" t="s">
        <v>85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39.75" hidden="false" customHeight="true" outlineLevel="0" collapsed="false">
      <c r="B9" s="4" t="s">
        <v>86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43.25" hidden="false" customHeight="true" outlineLevel="0" collapsed="false">
      <c r="B10" s="5" t="s">
        <v>87</v>
      </c>
      <c r="C10" s="55" t="s">
        <v>88</v>
      </c>
      <c r="D10" s="55"/>
      <c r="E10" s="55" t="s">
        <v>89</v>
      </c>
      <c r="F10" s="55"/>
      <c r="G10" s="55" t="s">
        <v>90</v>
      </c>
      <c r="H10" s="55"/>
      <c r="I10" s="55"/>
      <c r="J10" s="55" t="s">
        <v>91</v>
      </c>
      <c r="K10" s="55"/>
      <c r="L10" s="55"/>
    </row>
    <row r="11" customFormat="false" ht="25.5" hidden="false" customHeight="true" outlineLevel="0" collapsed="false">
      <c r="B11" s="56" t="s">
        <v>92</v>
      </c>
      <c r="C11" s="57" t="s">
        <v>93</v>
      </c>
      <c r="D11" s="57"/>
      <c r="E11" s="58" t="s">
        <v>94</v>
      </c>
      <c r="F11" s="58"/>
      <c r="G11" s="57" t="s">
        <v>95</v>
      </c>
      <c r="H11" s="57"/>
      <c r="I11" s="57"/>
      <c r="J11" s="57" t="s">
        <v>96</v>
      </c>
      <c r="K11" s="57"/>
      <c r="L11" s="57"/>
    </row>
    <row r="12" customFormat="false" ht="25.5" hidden="false" customHeight="true" outlineLevel="0" collapsed="false">
      <c r="B12" s="59" t="s">
        <v>97</v>
      </c>
      <c r="C12" s="60" t="s">
        <v>98</v>
      </c>
      <c r="D12" s="60"/>
      <c r="E12" s="61" t="s">
        <v>99</v>
      </c>
      <c r="F12" s="61"/>
      <c r="G12" s="60" t="s">
        <v>100</v>
      </c>
      <c r="H12" s="60"/>
      <c r="I12" s="60"/>
      <c r="J12" s="60" t="s">
        <v>101</v>
      </c>
      <c r="K12" s="60"/>
      <c r="L12" s="60"/>
    </row>
    <row r="13" customFormat="false" ht="25.5" hidden="false" customHeight="true" outlineLevel="0" collapsed="false">
      <c r="B13" s="6" t="s">
        <v>102</v>
      </c>
      <c r="C13" s="62" t="s">
        <v>103</v>
      </c>
      <c r="D13" s="62"/>
      <c r="E13" s="63" t="s">
        <v>102</v>
      </c>
      <c r="F13" s="63"/>
      <c r="G13" s="62" t="s">
        <v>104</v>
      </c>
      <c r="H13" s="62"/>
      <c r="I13" s="62"/>
      <c r="J13" s="62" t="s">
        <v>105</v>
      </c>
      <c r="K13" s="62"/>
      <c r="L13" s="62"/>
    </row>
    <row r="14" customFormat="false" ht="21.75" hidden="false" customHeight="true" outlineLevel="0" collapsed="false">
      <c r="B14" s="3" t="s">
        <v>106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36" hidden="false" customHeight="true" outlineLevel="0" collapsed="false">
      <c r="B15" s="4" t="s">
        <v>107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53.7" hidden="false" customHeight="true" outlineLevel="0" collapsed="false">
      <c r="B16" s="5" t="s">
        <v>108</v>
      </c>
      <c r="C16" s="55" t="s">
        <v>109</v>
      </c>
      <c r="D16" s="55"/>
      <c r="E16" s="55"/>
      <c r="F16" s="55" t="s">
        <v>110</v>
      </c>
      <c r="G16" s="55"/>
      <c r="H16" s="55"/>
      <c r="I16" s="55"/>
      <c r="J16" s="55"/>
      <c r="K16" s="55"/>
      <c r="L16" s="55"/>
    </row>
    <row r="17" customFormat="false" ht="27.75" hidden="false" customHeight="true" outlineLevel="0" collapsed="false">
      <c r="B17" s="64" t="s">
        <v>111</v>
      </c>
      <c r="C17" s="65" t="s">
        <v>112</v>
      </c>
      <c r="D17" s="65"/>
      <c r="E17" s="65"/>
      <c r="F17" s="65" t="s">
        <v>113</v>
      </c>
      <c r="G17" s="65"/>
      <c r="H17" s="65"/>
      <c r="I17" s="65"/>
      <c r="J17" s="65"/>
      <c r="K17" s="65"/>
      <c r="L17" s="65"/>
    </row>
    <row r="18" customFormat="false" ht="27.75" hidden="false" customHeight="true" outlineLevel="0" collapsed="false">
      <c r="B18" s="66" t="s">
        <v>114</v>
      </c>
      <c r="C18" s="67" t="s">
        <v>115</v>
      </c>
      <c r="D18" s="67"/>
      <c r="E18" s="67"/>
      <c r="F18" s="67" t="s">
        <v>116</v>
      </c>
      <c r="G18" s="67"/>
      <c r="H18" s="67"/>
      <c r="I18" s="67"/>
      <c r="J18" s="67"/>
      <c r="K18" s="67"/>
      <c r="L18" s="67"/>
    </row>
    <row r="19" customFormat="false" ht="27.75" hidden="false" customHeight="true" outlineLevel="0" collapsed="false">
      <c r="B19" s="66" t="s">
        <v>117</v>
      </c>
      <c r="C19" s="67" t="s">
        <v>118</v>
      </c>
      <c r="D19" s="67"/>
      <c r="E19" s="67"/>
      <c r="F19" s="67" t="s">
        <v>119</v>
      </c>
      <c r="G19" s="67"/>
      <c r="H19" s="67"/>
      <c r="I19" s="67"/>
      <c r="J19" s="67"/>
      <c r="K19" s="67"/>
      <c r="L19" s="67"/>
    </row>
    <row r="20" customFormat="false" ht="27.75" hidden="false" customHeight="true" outlineLevel="0" collapsed="false">
      <c r="B20" s="68" t="s">
        <v>120</v>
      </c>
      <c r="C20" s="69" t="s">
        <v>121</v>
      </c>
      <c r="D20" s="69"/>
      <c r="E20" s="69"/>
      <c r="F20" s="69" t="s">
        <v>122</v>
      </c>
      <c r="G20" s="69"/>
      <c r="H20" s="69"/>
      <c r="I20" s="69"/>
      <c r="J20" s="69"/>
      <c r="K20" s="69"/>
      <c r="L20" s="69"/>
    </row>
    <row r="21" customFormat="false" ht="30" hidden="false" customHeight="true" outlineLevel="0" collapsed="false">
      <c r="B21" s="4" t="s">
        <v>123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21.75" hidden="false" customHeight="true" outlineLevel="0" collapsed="false">
      <c r="B22" s="3" t="s">
        <v>124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30" hidden="false" customHeight="true" outlineLevel="0" collapsed="false">
      <c r="B23" s="70" t="s">
        <v>125</v>
      </c>
      <c r="C23" s="70"/>
      <c r="D23" s="70"/>
      <c r="E23" s="54" t="s">
        <v>126</v>
      </c>
      <c r="F23" s="54"/>
      <c r="G23" s="54"/>
      <c r="H23" s="54"/>
      <c r="I23" s="54"/>
      <c r="J23" s="54"/>
      <c r="K23" s="54"/>
      <c r="L23" s="54"/>
    </row>
    <row r="24" customFormat="false" ht="30" hidden="false" customHeight="true" outlineLevel="0" collapsed="false">
      <c r="B24" s="70" t="s">
        <v>127</v>
      </c>
      <c r="C24" s="70"/>
      <c r="D24" s="70"/>
      <c r="E24" s="54" t="s">
        <v>128</v>
      </c>
      <c r="F24" s="54"/>
      <c r="G24" s="54"/>
      <c r="H24" s="54"/>
      <c r="I24" s="54"/>
      <c r="J24" s="54"/>
      <c r="K24" s="54"/>
      <c r="L24" s="54"/>
    </row>
    <row r="25" customFormat="false" ht="30" hidden="false" customHeight="true" outlineLevel="0" collapsed="false">
      <c r="B25" s="70" t="s">
        <v>129</v>
      </c>
      <c r="C25" s="70"/>
      <c r="D25" s="70"/>
      <c r="E25" s="54" t="s">
        <v>130</v>
      </c>
      <c r="F25" s="54"/>
      <c r="G25" s="54"/>
      <c r="H25" s="54"/>
      <c r="I25" s="54"/>
      <c r="J25" s="54"/>
      <c r="K25" s="54"/>
      <c r="L25" s="54"/>
    </row>
    <row r="26" customFormat="false" ht="30" hidden="false" customHeight="true" outlineLevel="0" collapsed="false">
      <c r="B26" s="70" t="s">
        <v>131</v>
      </c>
      <c r="C26" s="70"/>
      <c r="D26" s="70"/>
      <c r="E26" s="54" t="s">
        <v>132</v>
      </c>
      <c r="F26" s="54"/>
      <c r="G26" s="54"/>
      <c r="H26" s="54"/>
      <c r="I26" s="54"/>
      <c r="J26" s="54"/>
      <c r="K26" s="54"/>
      <c r="L26" s="54"/>
    </row>
    <row r="27" customFormat="false" ht="21.75" hidden="false" customHeight="true" outlineLevel="0" collapsed="false">
      <c r="B27" s="3" t="s">
        <v>133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39.75" hidden="false" customHeight="true" outlineLevel="0" collapsed="false">
      <c r="B28" s="4" t="s">
        <v>134</v>
      </c>
      <c r="C28" s="4"/>
      <c r="D28" s="4"/>
      <c r="E28" s="4"/>
      <c r="F28" s="4"/>
      <c r="G28" s="4"/>
      <c r="H28" s="4"/>
      <c r="I28" s="4"/>
      <c r="J28" s="4"/>
      <c r="K28" s="4"/>
      <c r="L28" s="4"/>
    </row>
  </sheetData>
  <mergeCells count="48">
    <mergeCell ref="B1:L1"/>
    <mergeCell ref="B3:L3"/>
    <mergeCell ref="B4:L4"/>
    <mergeCell ref="B5:L5"/>
    <mergeCell ref="B6:L6"/>
    <mergeCell ref="B7:L7"/>
    <mergeCell ref="B8:L8"/>
    <mergeCell ref="B9:L9"/>
    <mergeCell ref="C10:D10"/>
    <mergeCell ref="E10:F10"/>
    <mergeCell ref="G10:I10"/>
    <mergeCell ref="J10:L10"/>
    <mergeCell ref="C11:D11"/>
    <mergeCell ref="E11:F11"/>
    <mergeCell ref="G11:I11"/>
    <mergeCell ref="J11:L11"/>
    <mergeCell ref="C12:D12"/>
    <mergeCell ref="E12:F12"/>
    <mergeCell ref="G12:I12"/>
    <mergeCell ref="J12:L12"/>
    <mergeCell ref="C13:D13"/>
    <mergeCell ref="E13:F13"/>
    <mergeCell ref="G13:I13"/>
    <mergeCell ref="J13:L13"/>
    <mergeCell ref="B14:L14"/>
    <mergeCell ref="B15:L15"/>
    <mergeCell ref="C16:E16"/>
    <mergeCell ref="F16:L16"/>
    <mergeCell ref="C17:E17"/>
    <mergeCell ref="F17:L17"/>
    <mergeCell ref="C18:E18"/>
    <mergeCell ref="F18:L18"/>
    <mergeCell ref="C19:E19"/>
    <mergeCell ref="F19:L19"/>
    <mergeCell ref="C20:E20"/>
    <mergeCell ref="F20:L20"/>
    <mergeCell ref="B21:L21"/>
    <mergeCell ref="B22:L22"/>
    <mergeCell ref="B23:D23"/>
    <mergeCell ref="E23:L23"/>
    <mergeCell ref="B24:D24"/>
    <mergeCell ref="E24:L24"/>
    <mergeCell ref="B25:D25"/>
    <mergeCell ref="E25:L25"/>
    <mergeCell ref="B26:D26"/>
    <mergeCell ref="E26:L26"/>
    <mergeCell ref="B27:L27"/>
    <mergeCell ref="B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2026-06-09T03:36:30Z</dcterms:created>
  <dc:creator>openpyxl</dc:creator>
  <dc:description/>
  <dc:language>en-US</dc:language>
  <cp:lastModifiedBy/>
  <dcterms:modified xsi:type="dcterms:W3CDTF">2026-06-09T04:23:00Z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