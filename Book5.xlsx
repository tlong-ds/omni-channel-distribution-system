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15C8027-AB65-484A-B028-414887C528DC}" xr6:coauthVersionLast="47" xr6:coauthVersionMax="47" xr10:uidLastSave="{00000000-0000-0000-0000-000000000000}"/>
  <bookViews>
    <workbookView xWindow="384" yWindow="384" windowWidth="17280" windowHeight="11748" xr2:uid="{89AA283C-FC96-4426-BA7C-B08ED6645AF1}"/>
  </bookViews>
  <sheets>
    <sheet name="TASKS 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79" i="2" l="1"/>
  <c r="K179" i="2"/>
  <c r="L178" i="2"/>
  <c r="K178" i="2"/>
  <c r="L177" i="2"/>
  <c r="K177" i="2"/>
  <c r="L176" i="2"/>
  <c r="K176" i="2"/>
  <c r="L175" i="2"/>
  <c r="K175" i="2"/>
  <c r="L174" i="2"/>
  <c r="K174" i="2"/>
  <c r="L173" i="2"/>
  <c r="K173" i="2"/>
  <c r="L172" i="2"/>
  <c r="K172" i="2"/>
  <c r="L171" i="2"/>
  <c r="K171" i="2"/>
  <c r="L170" i="2"/>
  <c r="K170" i="2"/>
  <c r="L169" i="2"/>
  <c r="K169" i="2"/>
  <c r="L168" i="2"/>
  <c r="K168" i="2"/>
  <c r="L167" i="2"/>
  <c r="K167" i="2"/>
  <c r="L166" i="2"/>
  <c r="K166" i="2"/>
  <c r="L165" i="2"/>
  <c r="K165" i="2"/>
  <c r="L164" i="2"/>
  <c r="K164" i="2"/>
  <c r="L163" i="2"/>
  <c r="K163" i="2"/>
  <c r="L162" i="2"/>
  <c r="K162" i="2"/>
  <c r="L161" i="2"/>
  <c r="K161" i="2"/>
  <c r="L160" i="2"/>
  <c r="K160" i="2"/>
  <c r="L159" i="2"/>
  <c r="K159" i="2"/>
  <c r="L158" i="2"/>
  <c r="K158" i="2"/>
  <c r="L157" i="2"/>
  <c r="K157" i="2"/>
  <c r="L156" i="2"/>
  <c r="K156" i="2"/>
  <c r="L155" i="2"/>
  <c r="K155" i="2"/>
  <c r="L154" i="2"/>
  <c r="K154" i="2"/>
  <c r="L153" i="2"/>
  <c r="K153" i="2"/>
  <c r="L152" i="2"/>
  <c r="K152" i="2"/>
  <c r="L151" i="2"/>
  <c r="K151" i="2"/>
  <c r="L150" i="2"/>
  <c r="K150" i="2"/>
  <c r="L149" i="2"/>
  <c r="K149" i="2"/>
  <c r="L148" i="2"/>
  <c r="K148" i="2"/>
  <c r="L147" i="2"/>
  <c r="K147" i="2"/>
  <c r="L146" i="2"/>
  <c r="K146" i="2"/>
  <c r="L145" i="2"/>
  <c r="K145" i="2"/>
  <c r="L144" i="2"/>
  <c r="K144" i="2"/>
  <c r="L143" i="2"/>
  <c r="K143" i="2"/>
  <c r="L142" i="2"/>
  <c r="K142" i="2"/>
  <c r="L141" i="2"/>
  <c r="K141" i="2"/>
  <c r="L140" i="2"/>
  <c r="K140" i="2"/>
  <c r="L139" i="2"/>
  <c r="K139" i="2"/>
  <c r="L138" i="2"/>
  <c r="K138" i="2"/>
  <c r="L137" i="2"/>
  <c r="K137" i="2"/>
  <c r="L136" i="2"/>
  <c r="K136" i="2"/>
  <c r="L135" i="2"/>
  <c r="K135" i="2"/>
  <c r="L134" i="2"/>
  <c r="K134" i="2"/>
  <c r="L133" i="2"/>
  <c r="K133" i="2"/>
  <c r="L132" i="2"/>
  <c r="K132" i="2"/>
  <c r="L131" i="2"/>
  <c r="K131" i="2"/>
  <c r="L130" i="2"/>
  <c r="K130" i="2"/>
  <c r="L129" i="2"/>
  <c r="K129" i="2"/>
  <c r="L128" i="2"/>
  <c r="K128" i="2"/>
  <c r="L127" i="2"/>
  <c r="K127" i="2"/>
  <c r="L126" i="2"/>
  <c r="K126" i="2"/>
  <c r="L125" i="2"/>
  <c r="K125" i="2"/>
  <c r="L124" i="2"/>
  <c r="K124" i="2"/>
  <c r="L123" i="2"/>
  <c r="K123" i="2"/>
  <c r="L122" i="2"/>
  <c r="K122" i="2"/>
  <c r="L121" i="2"/>
  <c r="K121" i="2"/>
  <c r="L120" i="2"/>
  <c r="K120" i="2"/>
  <c r="L119" i="2"/>
  <c r="K119" i="2"/>
  <c r="L118" i="2"/>
  <c r="K118" i="2"/>
  <c r="L117" i="2"/>
  <c r="K117" i="2"/>
  <c r="L116" i="2"/>
  <c r="K116" i="2"/>
  <c r="L115" i="2"/>
  <c r="K115" i="2"/>
  <c r="L114" i="2"/>
  <c r="K114" i="2"/>
  <c r="L113" i="2"/>
  <c r="K113" i="2"/>
  <c r="L112" i="2"/>
  <c r="K112" i="2"/>
  <c r="L111" i="2"/>
  <c r="K111" i="2"/>
  <c r="L110" i="2"/>
  <c r="K110" i="2"/>
  <c r="L109" i="2"/>
  <c r="K109" i="2"/>
  <c r="L108" i="2"/>
  <c r="K108" i="2"/>
  <c r="L107" i="2"/>
  <c r="K107" i="2"/>
  <c r="L106" i="2"/>
  <c r="K106" i="2"/>
  <c r="L105" i="2"/>
  <c r="K105" i="2"/>
  <c r="L104" i="2"/>
  <c r="K104" i="2"/>
  <c r="L103" i="2"/>
  <c r="K103" i="2"/>
  <c r="L102" i="2"/>
  <c r="K102" i="2"/>
  <c r="L101" i="2"/>
  <c r="K101" i="2"/>
  <c r="L100" i="2"/>
  <c r="K100" i="2"/>
  <c r="L99" i="2"/>
  <c r="K99" i="2"/>
  <c r="L98" i="2"/>
  <c r="K98" i="2"/>
  <c r="L97" i="2"/>
  <c r="K97" i="2"/>
  <c r="L96" i="2"/>
  <c r="K96" i="2"/>
  <c r="L95" i="2"/>
  <c r="K95" i="2"/>
  <c r="L94" i="2"/>
  <c r="K94" i="2"/>
  <c r="L93" i="2"/>
  <c r="K93" i="2"/>
  <c r="L92" i="2"/>
  <c r="K92" i="2"/>
  <c r="L91" i="2"/>
  <c r="K91" i="2"/>
  <c r="L90" i="2"/>
  <c r="K90" i="2"/>
  <c r="L89" i="2"/>
  <c r="K89" i="2"/>
  <c r="L88" i="2"/>
  <c r="K88" i="2"/>
  <c r="L87" i="2"/>
  <c r="K87" i="2"/>
  <c r="L86" i="2"/>
  <c r="K86" i="2"/>
  <c r="L85" i="2"/>
  <c r="K85" i="2"/>
  <c r="L84" i="2"/>
  <c r="K84" i="2"/>
  <c r="L83" i="2"/>
  <c r="K83" i="2"/>
  <c r="L82" i="2"/>
  <c r="K82" i="2"/>
  <c r="L81" i="2"/>
  <c r="K81" i="2"/>
  <c r="L80" i="2"/>
  <c r="K80" i="2"/>
  <c r="L79" i="2"/>
  <c r="K79" i="2"/>
  <c r="L78" i="2"/>
  <c r="K78" i="2"/>
  <c r="L77" i="2"/>
  <c r="K77" i="2"/>
  <c r="L76" i="2"/>
  <c r="K76" i="2"/>
  <c r="L75" i="2"/>
  <c r="K75" i="2"/>
  <c r="L74" i="2"/>
  <c r="K74" i="2"/>
  <c r="L73" i="2"/>
  <c r="K73" i="2"/>
  <c r="L72" i="2"/>
  <c r="K72" i="2"/>
  <c r="L71" i="2"/>
  <c r="K71" i="2"/>
  <c r="L70" i="2"/>
  <c r="K70" i="2"/>
  <c r="L69" i="2"/>
  <c r="K69" i="2"/>
  <c r="L68" i="2"/>
  <c r="K68" i="2"/>
  <c r="L67" i="2"/>
  <c r="K67" i="2"/>
  <c r="L66" i="2"/>
  <c r="K66" i="2"/>
  <c r="L65" i="2"/>
  <c r="K65" i="2"/>
  <c r="L64" i="2"/>
  <c r="K64" i="2"/>
  <c r="L63" i="2"/>
  <c r="K63" i="2"/>
  <c r="L62" i="2"/>
  <c r="K62" i="2"/>
  <c r="L61" i="2"/>
  <c r="K61" i="2"/>
  <c r="L60" i="2"/>
  <c r="K60" i="2"/>
  <c r="L59" i="2"/>
  <c r="K59" i="2"/>
  <c r="L58" i="2"/>
  <c r="K58" i="2"/>
  <c r="L57" i="2"/>
  <c r="K57" i="2"/>
  <c r="L56" i="2"/>
  <c r="K56" i="2"/>
  <c r="L55" i="2"/>
  <c r="K55" i="2"/>
  <c r="L54" i="2"/>
  <c r="K54" i="2"/>
  <c r="L53" i="2"/>
  <c r="K53" i="2"/>
  <c r="L52" i="2"/>
  <c r="K52" i="2"/>
  <c r="L51" i="2"/>
  <c r="K51" i="2"/>
  <c r="L50" i="2"/>
  <c r="K50" i="2"/>
  <c r="L49" i="2"/>
  <c r="K49" i="2"/>
  <c r="L48" i="2"/>
  <c r="K48" i="2"/>
  <c r="L47" i="2"/>
  <c r="K47" i="2"/>
  <c r="L46" i="2"/>
  <c r="K46" i="2"/>
  <c r="L45" i="2"/>
  <c r="K45" i="2"/>
  <c r="L44" i="2"/>
  <c r="K44" i="2"/>
  <c r="L43" i="2"/>
  <c r="K43" i="2"/>
  <c r="L42" i="2"/>
  <c r="K42" i="2"/>
  <c r="L41" i="2"/>
  <c r="K41" i="2"/>
  <c r="L40" i="2"/>
  <c r="K40" i="2"/>
  <c r="L39" i="2"/>
  <c r="K39" i="2"/>
  <c r="L38" i="2"/>
  <c r="K38" i="2"/>
  <c r="L37" i="2"/>
  <c r="K37" i="2"/>
  <c r="L36" i="2"/>
  <c r="K36" i="2"/>
  <c r="L35" i="2"/>
  <c r="K35" i="2"/>
  <c r="L34" i="2"/>
  <c r="K34" i="2"/>
  <c r="L33" i="2"/>
  <c r="K33" i="2"/>
  <c r="L32" i="2"/>
  <c r="K32" i="2"/>
  <c r="L31" i="2"/>
  <c r="K31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L21" i="2"/>
  <c r="K21" i="2"/>
  <c r="L20" i="2"/>
  <c r="K20" i="2"/>
  <c r="L19" i="2"/>
  <c r="K19" i="2"/>
  <c r="Q18" i="2"/>
  <c r="Q19" i="2" s="1"/>
  <c r="L18" i="2"/>
  <c r="K18" i="2"/>
  <c r="L17" i="2"/>
  <c r="K17" i="2"/>
  <c r="L16" i="2"/>
  <c r="K16" i="2"/>
  <c r="L15" i="2"/>
  <c r="K15" i="2"/>
  <c r="L14" i="2"/>
  <c r="K14" i="2"/>
  <c r="L13" i="2"/>
  <c r="K13" i="2"/>
  <c r="L12" i="2"/>
  <c r="K12" i="2"/>
  <c r="T11" i="2"/>
  <c r="U11" i="2" s="1"/>
  <c r="S11" i="2"/>
  <c r="R11" i="2"/>
  <c r="V11" i="2" s="1"/>
  <c r="L11" i="2"/>
  <c r="K11" i="2"/>
  <c r="T10" i="2"/>
  <c r="W10" i="2" s="1"/>
  <c r="S10" i="2"/>
  <c r="R10" i="2"/>
  <c r="V10" i="2" s="1"/>
  <c r="L10" i="2"/>
  <c r="K10" i="2"/>
  <c r="T9" i="2"/>
  <c r="W9" i="2" s="1"/>
  <c r="S9" i="2"/>
  <c r="R9" i="2"/>
  <c r="V9" i="2" s="1"/>
  <c r="L9" i="2"/>
  <c r="K9" i="2"/>
  <c r="W8" i="2"/>
  <c r="V8" i="2"/>
  <c r="U8" i="2"/>
  <c r="T8" i="2"/>
  <c r="S8" i="2"/>
  <c r="R8" i="2"/>
  <c r="L8" i="2"/>
  <c r="K8" i="2"/>
  <c r="L7" i="2"/>
  <c r="K7" i="2"/>
  <c r="L6" i="2"/>
  <c r="K6" i="2"/>
  <c r="L5" i="2"/>
  <c r="K5" i="2"/>
  <c r="X4" i="2" a="1"/>
  <c r="X4" i="2" s="1"/>
  <c r="W4" i="2"/>
  <c r="T4" i="2" a="1"/>
  <c r="T4" i="2" s="1"/>
  <c r="S4" i="2"/>
  <c r="V4" i="2" s="1"/>
  <c r="R4" i="2"/>
  <c r="Q4" i="2"/>
  <c r="U4" i="2" s="1"/>
  <c r="L4" i="2"/>
  <c r="K4" i="2"/>
  <c r="X3" i="2" a="1"/>
  <c r="X3" i="2" s="1"/>
  <c r="W3" i="2"/>
  <c r="T3" i="2" a="1"/>
  <c r="T3" i="2" s="1"/>
  <c r="S3" i="2"/>
  <c r="V3" i="2" s="1"/>
  <c r="R3" i="2"/>
  <c r="Q17" i="2" s="1"/>
  <c r="Q3" i="2"/>
  <c r="Q15" i="2" s="1"/>
  <c r="L3" i="2"/>
  <c r="K3" i="2"/>
  <c r="Y4" i="2" l="1"/>
  <c r="W11" i="2"/>
  <c r="U3" i="2"/>
  <c r="Y3" i="2" s="1"/>
  <c r="U10" i="2"/>
  <c r="Q16" i="2"/>
  <c r="U9" i="2"/>
  <c r="X9" i="2" s="1"/>
  <c r="X10" i="2" l="1"/>
  <c r="X11" i="2"/>
  <c r="X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<sst xmlns="http://schemas.openxmlformats.org/spreadsheetml/2006/main" count="768" uniqueCount="208">
  <si>
    <t>SETTINGS</t>
  </si>
  <si>
    <t>Column1</t>
  </si>
  <si>
    <t>Input table</t>
  </si>
  <si>
    <t>High imbalance threshold</t>
  </si>
  <si>
    <t>Date</t>
  </si>
  <si>
    <t>Warehouse</t>
  </si>
  <si>
    <t>Orders</t>
  </si>
  <si>
    <t>Quantity</t>
  </si>
  <si>
    <t>Total CBM</t>
  </si>
  <si>
    <t>SKU_Count</t>
  </si>
  <si>
    <t>Avg Quantity per order</t>
  </si>
  <si>
    <t>Avg CBM per order</t>
  </si>
  <si>
    <t>Channel</t>
  </si>
  <si>
    <t>Source</t>
  </si>
  <si>
    <t>Total Orders</t>
  </si>
  <si>
    <t>Total Quantity</t>
  </si>
  <si>
    <t>Active Day</t>
  </si>
  <si>
    <t>Average Orders per Day</t>
  </si>
  <si>
    <t>Average CBM per Day</t>
  </si>
  <si>
    <t>Peak Daily Orders</t>
  </si>
  <si>
    <t>P95 Daily Orders</t>
  </si>
  <si>
    <t>Voltality Inđex</t>
  </si>
  <si>
    <t>Medium imbalance threshold</t>
  </si>
  <si>
    <t>2025-06-02</t>
  </si>
  <si>
    <t>My Phuoc</t>
  </si>
  <si>
    <t>B2B</t>
  </si>
  <si>
    <t>Pivot table</t>
  </si>
  <si>
    <t>High B2C order share threshold</t>
  </si>
  <si>
    <t>2025-06-03</t>
  </si>
  <si>
    <t>Vinh Loc</t>
  </si>
  <si>
    <t>High B2B CBM share threshold</t>
  </si>
  <si>
    <t>2025-06-04</t>
  </si>
  <si>
    <t>High volatility threshold</t>
  </si>
  <si>
    <t>2025-06-05</t>
  </si>
  <si>
    <t>High lines/order threshold</t>
  </si>
  <si>
    <t>2025-06-06</t>
  </si>
  <si>
    <t>Average CBM per Orders</t>
  </si>
  <si>
    <t>Order Share in Warehouse</t>
  </si>
  <si>
    <t>CBM Share in Warehouse</t>
  </si>
  <si>
    <t>Flow Type</t>
  </si>
  <si>
    <t>Low avg CBM/order threshold</t>
  </si>
  <si>
    <t>2025-06-07</t>
  </si>
  <si>
    <t>Data granularity</t>
  </si>
  <si>
    <t>Daily</t>
  </si>
  <si>
    <t>2025-06-09</t>
  </si>
  <si>
    <t>B2C</t>
  </si>
  <si>
    <t>Evaluation target</t>
  </si>
  <si>
    <t>Current 2-RDC model</t>
  </si>
  <si>
    <t>2025-06-10</t>
  </si>
  <si>
    <t>2025-06-11</t>
  </si>
  <si>
    <t>2025-06-12</t>
  </si>
  <si>
    <t>2025-06-13</t>
  </si>
  <si>
    <t>2025-06-14</t>
  </si>
  <si>
    <t>KPI Summary</t>
  </si>
  <si>
    <t>2025-06-16</t>
  </si>
  <si>
    <t>2025-06-17</t>
  </si>
  <si>
    <t>2025-06-18</t>
  </si>
  <si>
    <t>Total Qunatity</t>
  </si>
  <si>
    <t>2025-06-19</t>
  </si>
  <si>
    <t>B2B CBM Share</t>
  </si>
  <si>
    <t>2025-06-20</t>
  </si>
  <si>
    <t>B2C Order Share</t>
  </si>
  <si>
    <t>2025-06-21</t>
  </si>
  <si>
    <t>2025-06-23</t>
  </si>
  <si>
    <t>2025-06-24</t>
  </si>
  <si>
    <t>2025-06-25</t>
  </si>
  <si>
    <t>2025-06-26</t>
  </si>
  <si>
    <t>2025-06-27</t>
  </si>
  <si>
    <t>2025-06-28</t>
  </si>
  <si>
    <t>2025-06-30</t>
  </si>
  <si>
    <t>2025-07-01</t>
  </si>
  <si>
    <t>2025-07-02</t>
  </si>
  <si>
    <t>2025-07-03</t>
  </si>
  <si>
    <t>2025-07-04</t>
  </si>
  <si>
    <t>2025-07-05</t>
  </si>
  <si>
    <t>2025-07-08</t>
  </si>
  <si>
    <t>2025-07-09</t>
  </si>
  <si>
    <t>2025-07-10</t>
  </si>
  <si>
    <t>2025-07-11</t>
  </si>
  <si>
    <t>2025-07-12</t>
  </si>
  <si>
    <t>2025-07-14</t>
  </si>
  <si>
    <t>2025-07-15</t>
  </si>
  <si>
    <t>2025-07-16</t>
  </si>
  <si>
    <t>2025-07-17</t>
  </si>
  <si>
    <t>2025-07-18</t>
  </si>
  <si>
    <t>2025-07-19</t>
  </si>
  <si>
    <t>2025-07-21</t>
  </si>
  <si>
    <t>2025-07-22</t>
  </si>
  <si>
    <t>2025-07-23</t>
  </si>
  <si>
    <t>2025-07-24</t>
  </si>
  <si>
    <t>2025-07-25</t>
  </si>
  <si>
    <t>2025-07-26</t>
  </si>
  <si>
    <t>2025-07-28</t>
  </si>
  <si>
    <t>2025-07-29</t>
  </si>
  <si>
    <t>2025-07-30</t>
  </si>
  <si>
    <t>2025-07-31</t>
  </si>
  <si>
    <t>2025-08-01</t>
  </si>
  <si>
    <t>2025-08-02</t>
  </si>
  <si>
    <t>2025-08-04</t>
  </si>
  <si>
    <t>2025-08-05</t>
  </si>
  <si>
    <t>2025-08-06</t>
  </si>
  <si>
    <t>2025-08-07</t>
  </si>
  <si>
    <t>2025-08-08</t>
  </si>
  <si>
    <t>2025-08-09</t>
  </si>
  <si>
    <t>2025-08-11</t>
  </si>
  <si>
    <t>2025-08-12</t>
  </si>
  <si>
    <t>2025-08-13</t>
  </si>
  <si>
    <t>2025-08-14</t>
  </si>
  <si>
    <t>2025-08-15</t>
  </si>
  <si>
    <t>2025-08-16</t>
  </si>
  <si>
    <t>2025-08-18</t>
  </si>
  <si>
    <t>2025-08-19</t>
  </si>
  <si>
    <t>2025-08-20</t>
  </si>
  <si>
    <t>2025-08-21</t>
  </si>
  <si>
    <t>2025-08-22</t>
  </si>
  <si>
    <t>2025-08-23</t>
  </si>
  <si>
    <t>2025-08-25</t>
  </si>
  <si>
    <t>2025-08-26</t>
  </si>
  <si>
    <t>2025-08-27</t>
  </si>
  <si>
    <t>2025-08-28</t>
  </si>
  <si>
    <t>2025-08-29</t>
  </si>
  <si>
    <t>2025-09-03</t>
  </si>
  <si>
    <t>2025-09-04</t>
  </si>
  <si>
    <t>2025-09-05</t>
  </si>
  <si>
    <t>2025-09-06</t>
  </si>
  <si>
    <t>2025-09-08</t>
  </si>
  <si>
    <t>2025-09-10</t>
  </si>
  <si>
    <t>2025-09-11</t>
  </si>
  <si>
    <t>2025-09-13</t>
  </si>
  <si>
    <t>2025-09-15</t>
  </si>
  <si>
    <t>2025-09-16</t>
  </si>
  <si>
    <t>2025-09-17</t>
  </si>
  <si>
    <t>2025-09-18</t>
  </si>
  <si>
    <t>2025-09-19</t>
  </si>
  <si>
    <t>2025-09-20</t>
  </si>
  <si>
    <t>2025-09-22</t>
  </si>
  <si>
    <t>2025-09-23</t>
  </si>
  <si>
    <t>2025-09-24</t>
  </si>
  <si>
    <t>2025-09-25</t>
  </si>
  <si>
    <t>2025-09-26</t>
  </si>
  <si>
    <t>2025-09-27</t>
  </si>
  <si>
    <t>2025-09-29</t>
  </si>
  <si>
    <t>2025-09-30</t>
  </si>
  <si>
    <t>2025-10-02</t>
  </si>
  <si>
    <t>2025-10-08</t>
  </si>
  <si>
    <t>2025-10-09</t>
  </si>
  <si>
    <t>2025-10-10</t>
  </si>
  <si>
    <t>2025-10-11</t>
  </si>
  <si>
    <t>2025-10-13</t>
  </si>
  <si>
    <t>2025-10-14</t>
  </si>
  <si>
    <t>2025-10-15</t>
  </si>
  <si>
    <t>2025-10-16</t>
  </si>
  <si>
    <t>2025-10-17</t>
  </si>
  <si>
    <t>2025-10-18</t>
  </si>
  <si>
    <t>2025-10-21</t>
  </si>
  <si>
    <t>2025-10-22</t>
  </si>
  <si>
    <t>2025-10-23</t>
  </si>
  <si>
    <t>2025-10-24</t>
  </si>
  <si>
    <t>2025-10-25</t>
  </si>
  <si>
    <t>2025-10-27</t>
  </si>
  <si>
    <t>2025-10-28</t>
  </si>
  <si>
    <t>2025-10-29</t>
  </si>
  <si>
    <t>2025-10-30</t>
  </si>
  <si>
    <t>2025-10-31</t>
  </si>
  <si>
    <t>2025-11-05</t>
  </si>
  <si>
    <t>2025-11-06</t>
  </si>
  <si>
    <t>2025-11-07</t>
  </si>
  <si>
    <t>2025-11-08</t>
  </si>
  <si>
    <t>2025-11-10</t>
  </si>
  <si>
    <t>2025-11-11</t>
  </si>
  <si>
    <t>2025-11-13</t>
  </si>
  <si>
    <t>2025-11-14</t>
  </si>
  <si>
    <t>2025-11-19</t>
  </si>
  <si>
    <t>2025-11-20</t>
  </si>
  <si>
    <t>2025-11-21</t>
  </si>
  <si>
    <t>2025-11-22</t>
  </si>
  <si>
    <t>2025-11-24</t>
  </si>
  <si>
    <t>2025-11-25</t>
  </si>
  <si>
    <t>2025-11-26</t>
  </si>
  <si>
    <t>2025-11-27</t>
  </si>
  <si>
    <t>2025-11-28</t>
  </si>
  <si>
    <t>2025-11-29</t>
  </si>
  <si>
    <t>2025-12-01</t>
  </si>
  <si>
    <t>2025-12-02</t>
  </si>
  <si>
    <t>2025-12-03</t>
  </si>
  <si>
    <t>2025-12-04</t>
  </si>
  <si>
    <t>2025-12-05</t>
  </si>
  <si>
    <t>2025-12-06</t>
  </si>
  <si>
    <t>2025-12-08</t>
  </si>
  <si>
    <t>2025-12-09</t>
  </si>
  <si>
    <t>2025-12-10</t>
  </si>
  <si>
    <t>2025-12-11</t>
  </si>
  <si>
    <t>2025-12-12</t>
  </si>
  <si>
    <t>2025-12-13</t>
  </si>
  <si>
    <t>2025-12-15</t>
  </si>
  <si>
    <t>2025-12-16</t>
  </si>
  <si>
    <t>2025-12-17</t>
  </si>
  <si>
    <t>2025-12-18</t>
  </si>
  <si>
    <t>2025-12-19</t>
  </si>
  <si>
    <t>2025-12-20</t>
  </si>
  <si>
    <t>2025-12-22</t>
  </si>
  <si>
    <t>2025-12-23</t>
  </si>
  <si>
    <t>2025-12-24</t>
  </si>
  <si>
    <t>2025-12-25</t>
  </si>
  <si>
    <t>2025-12-26</t>
  </si>
  <si>
    <t>2025-12-27</t>
  </si>
  <si>
    <t>2025-12-29</t>
  </si>
  <si>
    <t>2025-12-30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</si>
</sst>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1">
    <xf numFmtId="0" fontId="0" fillId="0" borderId="0" xfId="0"/>
    <xf numFmtId="0" fontId="1" fillId="0" borderId="0" xfId="1" applyAlignment="1">
      <alignment vertical="center" wrapText="1"/>
    </xf>
    <xf numFmtId="0" fontId="1" fillId="0" borderId="0" xfId="1"/>
    <xf numFmtId="0" fontId="1" fillId="0" borderId="0" xfId="1" applyAlignment="1">
      <alignment horizontal="center"/>
    </xf>
    <xf numFmtId="2" fontId="1" fillId="0" borderId="0" xfId="1" applyNumberFormat="1" applyAlignment="1">
      <alignment horizontal="center"/>
    </xf>
    <xf numFmtId="9" fontId="1" fillId="0" borderId="0" xfId="1" applyNumberFormat="1" applyAlignment="1">
      <alignment horizontal="center" vertical="center" wrapText="1"/>
    </xf>
    <xf numFmtId="0" fontId="2" fillId="0" borderId="0" xfId="2"/>
    <xf numFmtId="0" fontId="2" fillId="0" borderId="0" xfId="2" applyAlignment="1">
      <alignment horizontal="center"/>
    </xf>
    <xf numFmtId="0" fontId="1" fillId="0" borderId="0" xfId="1" applyAlignment="1">
      <alignment horizontal="center" vertical="center" wrapText="1"/>
    </xf>
    <xf numFmtId="10" fontId="1" fillId="0" borderId="0" xfId="1" applyNumberFormat="1" applyAlignment="1">
      <alignment horizontal="center"/>
    </xf>
    <xf numFmtId="2" fontId="1" fillId="0" borderId="0" xfId="1" applyNumberFormat="1"/>
  </cellXfs>
  <cellStyles count="3">
    <cellStyle name="Normal" xfId="0" builtinId="0"/>
    <cellStyle name="Normal 2" xfId="1" xr:uid="{4C6ED472-384E-43F9-824C-EDC91309822D}"/>
    <cellStyle name="Normal 3" xfId="2" xr:uid="{283A6EFA-47DA-4D33-97F0-D923F597584B}"/>
  </cellStyles>
  <dxfs count="48"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1364B0-A1FB-4806-8431-CD33AE5341D1}" name="Table1" displayName="Table1" ref="E2:N179" totalsRowShown="0" headerRowDxfId="47" dataDxfId="46">
  <autoFilter ref="E2:N179" xr:uid="{32792CB5-68D7-4348-AB45-3468F33AAD35}"/>
  <tableColumns count="10">
    <tableColumn id="1" xr3:uid="{1FE8B01D-9CEB-41D5-BD9B-886FB8713963}" name="Date" dataDxfId="45"/>
    <tableColumn id="2" xr3:uid="{49AA5B3E-F0EF-4FF0-83E2-4756FA45EFBD}" name="Warehouse" dataDxfId="44"/>
    <tableColumn id="4" xr3:uid="{F3689D71-ACE7-4F31-9407-2B138D1DB1C6}" name="Orders" dataDxfId="43"/>
    <tableColumn id="6" xr3:uid="{EBDB7A47-3E63-4C31-8CBA-00CF6B493D89}" name="Quantity" dataDxfId="42"/>
    <tableColumn id="7" xr3:uid="{7A8F6D2D-A725-45CA-8435-A22AFB53F071}" name="Total CBM" dataDxfId="41"/>
    <tableColumn id="9" xr3:uid="{A4711CFA-E27C-4D71-B82F-37E0EB731D18}" name="SKU_Count" dataDxfId="40"/>
    <tableColumn id="11" xr3:uid="{403E781E-D06F-4EE1-852A-01664FFC27B7}" name="Avg Quantity per order" dataDxfId="39">
      <calculatedColumnFormula>Table1[[#This Row],[Quantity]]/Table1[[#This Row],[Orders]]</calculatedColumnFormula>
    </tableColumn>
    <tableColumn id="13" xr3:uid="{93681627-9841-445A-9752-63335CC8B45D}" name="Avg CBM per order" dataDxfId="38">
      <calculatedColumnFormula>Table1[[#This Row],[Total CBM]]/Table1[[#This Row],[Orders]]</calculatedColumnFormula>
    </tableColumn>
    <tableColumn id="14" xr3:uid="{E066AA9A-AD44-4EDE-B6F3-C1AC2AB25139}" name="Channel" dataDxfId="37" dataCellStyle="Normal 2"/>
    <tableColumn id="8" xr3:uid="{F544514E-B44F-4BDB-8BC6-404DEFD0C2BE}" name="Source" dataDxfId="3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A21EAE-90E2-47A7-98C6-5C4C9A2CA13C}" name="Table3" displayName="Table3" ref="P2:Y5" totalsRowCount="1" headerRowDxfId="35" dataDxfId="34" headerRowCellStyle="Normal 2" dataCellStyle="Normal 2">
  <autoFilter ref="P2:Y4" xr:uid="{13DCCB23-6EB9-4DB8-A852-A65B82423479}"/>
  <tableColumns count="10">
    <tableColumn id="1" xr3:uid="{E561944B-CFA4-445D-AB10-885AA53FA88E}" name="Warehouse" dataDxfId="32" totalsRowDxfId="33" dataCellStyle="Normal 2" totalsRowCellStyle="Normal 2"/>
    <tableColumn id="2" xr3:uid="{9F9B0ED1-B060-4FC2-B937-577FEB640842}" name="Total Orders" dataDxfId="30" totalsRowDxfId="31" dataCellStyle="Normal 2" totalsRowCellStyle="Normal 2">
      <calculatedColumnFormula>SUMIF(Table1[Warehouse], P3, Table1[Orders])</calculatedColumnFormula>
    </tableColumn>
    <tableColumn id="3" xr3:uid="{1151D9CE-ADD2-43E8-A29F-CF4E205EC575}" name="Total Quantity" dataDxfId="28" totalsRowDxfId="29" dataCellStyle="Normal 2" totalsRowCellStyle="Normal 2">
      <calculatedColumnFormula>SUMIF(Table1[Warehouse], Table3[[#This Row],[Warehouse]], Table1[Quantity])</calculatedColumnFormula>
    </tableColumn>
    <tableColumn id="4" xr3:uid="{7F0B86CD-69FB-4685-BE46-37263903E907}" name="Total CBM" dataDxfId="26" totalsRowDxfId="27" dataCellStyle="Normal 2" totalsRowCellStyle="Normal 2">
      <calculatedColumnFormula>SUMIF(Table1[Warehouse], P3, Table1[Total CBM])</calculatedColumnFormula>
    </tableColumn>
    <tableColumn id="5" xr3:uid="{22FCB70A-FD81-447E-BC29-660E4A94732F}" name="Active Day" dataDxfId="24" totalsRowDxfId="25" dataCellStyle="Normal 2" totalsRowCellStyle="Normal 2">
      <calculatedColumnFormula array="1">COUNTA(_xlfn.UNIQUE(_xlfn._xlws.FILTER(Table1[Date],(Table1[Warehouse]=P3)*(Table1[Orders]&gt;0))))</calculatedColumnFormula>
    </tableColumn>
    <tableColumn id="6" xr3:uid="{1F7DFEF7-0CFE-425D-AD99-194F55651FB5}" name="Average Orders per Day" dataDxfId="22" totalsRowDxfId="23" dataCellStyle="Normal 2" totalsRowCellStyle="Normal 2">
      <calculatedColumnFormula>Table3[[#This Row],[Total Orders]]/Table3[[#This Row],[Active Day]]</calculatedColumnFormula>
    </tableColumn>
    <tableColumn id="7" xr3:uid="{36465E54-AEA4-4F45-AB6B-8BC4483054B1}" name="Average CBM per Day" dataDxfId="20" totalsRowDxfId="21" dataCellStyle="Normal 2" totalsRowCellStyle="Normal 2">
      <calculatedColumnFormula>Table3[[#This Row],[Total CBM]]/Table3[[#This Row],[Active Day]]</calculatedColumnFormula>
    </tableColumn>
    <tableColumn id="8" xr3:uid="{18B75E81-5FDF-426A-B43D-6B2C7C2EE2F2}" name="Peak Daily Orders" dataDxfId="18" totalsRowDxfId="19" dataCellStyle="Normal 2" totalsRowCellStyle="Normal 2">
      <calculatedColumnFormula>_xlfn.MAXIFS(Table1[Orders], Table1[Warehouse],Table3[[#This Row],[Warehouse]])</calculatedColumnFormula>
    </tableColumn>
    <tableColumn id="9" xr3:uid="{D0F70BB4-27FE-4ED4-89D4-6269C0BCC5A2}" name="P95 Daily Orders" dataDxfId="16" totalsRowDxfId="17" dataCellStyle="Normal 2" totalsRowCellStyle="Normal 2">
      <calculatedColumnFormula array="1">_xlfn.PERCENTILE.INC(_xlfn._xlws.FILTER(Table1[Orders],(Table1[Warehouse]=Table3[[#This Row],[Warehouse]])*(Table1[Orders]&gt;0)),0.95)</calculatedColumnFormula>
    </tableColumn>
    <tableColumn id="10" xr3:uid="{69E95B41-A294-47BA-B71A-7C7322FE217E}" name="Voltality Inđex" dataDxfId="14" totalsRowDxfId="15" dataCellStyle="Normal 2" totalsRowCellStyle="Normal 2">
      <calculatedColumnFormula>Table3[[#This Row],[P95 Daily Orders]]/Table3[[#This Row],[Average Orders per Day]]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9ADCCB-A9F0-4DF3-A1B0-272C078A7EAC}" name="Table25" displayName="Table25" ref="P7:X11" totalsRowShown="0" dataDxfId="13" headerRowCellStyle="Normal 2" dataCellStyle="Normal 2">
  <autoFilter ref="P7:X11" xr:uid="{8ECFE125-B2DA-4ED3-99C0-6CBDE8CD0817}"/>
  <tableColumns count="9">
    <tableColumn id="1" xr3:uid="{86D10B87-1875-43F2-84D8-337E7C651672}" name="Warehouse" dataDxfId="12" dataCellStyle="Normal 2"/>
    <tableColumn id="2" xr3:uid="{D67CEA3A-B492-4B31-81A7-A2A04D7E05CC}" name="Channel" dataDxfId="11" dataCellStyle="Normal 2"/>
    <tableColumn id="3" xr3:uid="{01290BC6-6FA7-4F2A-BA28-463F0D9BB688}" name="Orders" dataDxfId="10" dataCellStyle="Normal 2">
      <calculatedColumnFormula>SUMIFS(Table1[Orders],Table1[Warehouse],Table25[[#This Row],[Warehouse]],Table1[Channel],Table25[[#This Row],[Channel]])</calculatedColumnFormula>
    </tableColumn>
    <tableColumn id="5" xr3:uid="{60B538FA-E6FF-4042-81D7-46C0EE8F7C35}" name="Quantity" dataDxfId="9" dataCellStyle="Normal 2">
      <calculatedColumnFormula>SUMIFS(Table1[Quantity],Table1[Warehouse],Table25[[#This Row],[Warehouse]],Table1[Channel],Table25[[#This Row],[Channel]])</calculatedColumnFormula>
    </tableColumn>
    <tableColumn id="6" xr3:uid="{7F8B5ACE-D40D-43A6-8F66-F34D02BE2BC3}" name="Total CBM" dataDxfId="8" dataCellStyle="Normal 2">
      <calculatedColumnFormula>SUMIFS(Table1[Total CBM],Table1[Warehouse],Table25[[#This Row],[Warehouse]],Table1[Channel],Table25[[#This Row],[Channel]])</calculatedColumnFormula>
    </tableColumn>
    <tableColumn id="7" xr3:uid="{D5BE0EA5-F1A3-44D8-B444-302D02598696}" name="Average CBM per Orders" dataDxfId="7" dataCellStyle="Normal 2">
      <calculatedColumnFormula>Table25[[#This Row],[Total CBM]]/Table25[[#This Row],[Orders]]</calculatedColumnFormula>
    </tableColumn>
    <tableColumn id="9" xr3:uid="{C3A13E8D-9622-4EE7-A443-B251C634316A}" name="Order Share in Warehouse" dataDxfId="6" dataCellStyle="Normal 2">
      <calculatedColumnFormula>IFERROR(Table25[[#This Row],[Orders]]/SUMIFS(Table25[Orders],Table25[Warehouse],Table25[[#This Row],[Warehouse]]),0)</calculatedColumnFormula>
    </tableColumn>
    <tableColumn id="10" xr3:uid="{608F10F2-F4C6-4E07-AF3C-C58FFEE352E8}" name="CBM Share in Warehouse" dataDxfId="5" dataCellStyle="Normal 2">
      <calculatedColumnFormula>IFERROR(Table25[[#This Row],[Total CBM]]/SUMIFS(Table25[Total CBM],Table25[Warehouse],Table25[[#This Row],[Warehouse]]),0)</calculatedColumnFormula>
    </tableColumn>
    <tableColumn id="11" xr3:uid="{395C920F-4D47-4851-84CC-B877EC887BA3}" name="Flow Type" dataDxfId="4" dataCellStyle="Normal 2">
      <calculatedColumnFormula>IF(AND(Table25[[#This Row],[Channel]]="B2B",Table25[[#This Row],[Average CBM per Orders]]&gt;AVERAGE(Table25[Average CBM per Orders])),"Large-volume flow",IF(AND(Table25[[#This Row],[Channel]]="B2C",Table25[[#This Row],[Average CBM per Orders]]&lt;$B$8),"Small fragmented flow","Mixed flow"))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BC2993-E357-4B6A-BEAD-FCABAF178E63}" name="Table26" displayName="Table26" ref="P14:Q19" totalsRowShown="0">
  <autoFilter ref="P14:Q19" xr:uid="{264BC1BA-2AAF-4B19-B0BD-E857126D4C7E}"/>
  <tableColumns count="2">
    <tableColumn id="1" xr3:uid="{96BBE70F-C74A-4F36-B10A-86009CE353B5}" name="KPI Summary" dataDxfId="3" dataCellStyle="Normal 2"/>
    <tableColumn id="2" xr3:uid="{34ED1C9E-66FF-46F8-AFC8-E5B48A660C35}" name="Column1" dataCellStyle="Normal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C4428EF-BF00-480F-BEB9-86301240B0DD}" name="Table27" displayName="Table27" ref="A1:B10" totalsRowShown="0" headerRowDxfId="2" headerRowCellStyle="Normal 2">
  <autoFilter ref="A1:B10" xr:uid="{5A5A7078-0F09-4291-98C1-70BE198453BB}"/>
  <tableColumns count="2">
    <tableColumn id="1" xr3:uid="{9BEEE625-A820-4C12-9A38-4199283B1FEB}" name="SETTINGS" dataDxfId="1" dataCellStyle="Normal 2"/>
    <tableColumn id="2" xr3:uid="{9BE107E3-BD3F-41B0-852B-093221B266E0}" name="Column1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F6CF3-F5F7-4B12-B1C1-4796B4544D2C}">
  <dimension ref="A1:Y179"/>
  <sheetViews>
    <sheetView tabSelected="1" topLeftCell="K1" zoomScale="88" workbookViewId="0">
      <selection activeCell="S17" sqref="S17"/>
    </sheetView>
  </sheetViews>
  <sheetFormatPr defaultRowHeight="14.4" x14ac:dyDescent="0.3"/>
  <cols>
    <col min="1" max="1" width="28.88671875" style="2" customWidth="1"/>
    <col min="2" max="2" width="18.5546875" style="2" customWidth="1"/>
    <col min="3" max="4" width="8.88671875" style="2"/>
    <col min="5" max="5" width="11.5546875" style="3" customWidth="1"/>
    <col min="6" max="6" width="12.77734375" style="3" customWidth="1"/>
    <col min="7" max="7" width="10" style="3" customWidth="1"/>
    <col min="8" max="8" width="12.5546875" style="4" customWidth="1"/>
    <col min="9" max="9" width="12.77734375" style="4" customWidth="1"/>
    <col min="10" max="10" width="12.5546875" style="3" customWidth="1"/>
    <col min="11" max="11" width="21.77734375" style="3" customWidth="1"/>
    <col min="12" max="12" width="22" style="3" customWidth="1"/>
    <col min="13" max="13" width="12.77734375" style="3" customWidth="1"/>
    <col min="14" max="15" width="8.88671875" style="2"/>
    <col min="16" max="16" width="26.21875" style="2" customWidth="1"/>
    <col min="17" max="17" width="30.77734375" style="2" customWidth="1"/>
    <col min="18" max="18" width="18" style="2" customWidth="1"/>
    <col min="19" max="19" width="18.5546875" style="2" customWidth="1"/>
    <col min="20" max="20" width="13.5546875" style="2" customWidth="1"/>
    <col min="21" max="21" width="22.21875" style="2" customWidth="1"/>
    <col min="22" max="22" width="23.44140625" style="2" customWidth="1"/>
    <col min="23" max="23" width="23" style="2" customWidth="1"/>
    <col min="24" max="24" width="24.88671875" style="2" customWidth="1"/>
    <col min="25" max="25" width="24" style="2" customWidth="1"/>
    <col min="26" max="26" width="17.88671875" style="2" customWidth="1"/>
    <col min="27" max="16384" width="8.88671875" style="2"/>
  </cols>
  <sheetData>
    <row r="1" spans="1:25" x14ac:dyDescent="0.3">
      <c r="A1" s="1" t="s">
        <v>0</v>
      </c>
      <c r="B1" s="1" t="s">
        <v>1</v>
      </c>
      <c r="E1" s="3" t="s">
        <v>2</v>
      </c>
    </row>
    <row r="2" spans="1:25" x14ac:dyDescent="0.3">
      <c r="A2" s="1" t="s">
        <v>3</v>
      </c>
      <c r="B2" s="5">
        <v>0.6</v>
      </c>
      <c r="E2" s="3" t="s">
        <v>4</v>
      </c>
      <c r="F2" s="3" t="s">
        <v>5</v>
      </c>
      <c r="G2" s="3" t="s">
        <v>6</v>
      </c>
      <c r="H2" s="4" t="s">
        <v>7</v>
      </c>
      <c r="I2" s="4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P2" s="3" t="s">
        <v>5</v>
      </c>
      <c r="Q2" s="3" t="s">
        <v>14</v>
      </c>
      <c r="R2" s="3" t="s">
        <v>15</v>
      </c>
      <c r="S2" s="3" t="s">
        <v>8</v>
      </c>
      <c r="T2" s="3" t="s">
        <v>16</v>
      </c>
      <c r="U2" s="3" t="s">
        <v>17</v>
      </c>
      <c r="V2" s="3" t="s">
        <v>18</v>
      </c>
      <c r="W2" s="3" t="s">
        <v>19</v>
      </c>
      <c r="X2" s="3" t="s">
        <v>20</v>
      </c>
      <c r="Y2" s="3" t="s">
        <v>21</v>
      </c>
    </row>
    <row r="3" spans="1:25" x14ac:dyDescent="0.3">
      <c r="A3" s="1" t="s">
        <v>22</v>
      </c>
      <c r="B3" s="5">
        <v>0.4</v>
      </c>
      <c r="E3" s="6" t="s">
        <v>23</v>
      </c>
      <c r="F3" s="6" t="s">
        <v>24</v>
      </c>
      <c r="G3" s="6">
        <v>77</v>
      </c>
      <c r="H3" s="6">
        <v>291</v>
      </c>
      <c r="I3" s="6">
        <v>18.301979500000002</v>
      </c>
      <c r="J3" s="6">
        <v>25</v>
      </c>
      <c r="K3" s="4">
        <f>Table1[[#This Row],[Quantity]]/Table1[[#This Row],[Orders]]</f>
        <v>3.779220779220779</v>
      </c>
      <c r="L3" s="4">
        <f>Table1[[#This Row],[Total CBM]]/Table1[[#This Row],[Orders]]</f>
        <v>0.23768804545454547</v>
      </c>
      <c r="M3" s="6" t="s">
        <v>25</v>
      </c>
      <c r="N3" s="3" t="s">
        <v>26</v>
      </c>
      <c r="P3" s="3" t="s">
        <v>24</v>
      </c>
      <c r="Q3" s="3">
        <f>SUMIF(Table1[Warehouse], P3, Table1[Orders])</f>
        <v>16142</v>
      </c>
      <c r="R3" s="4">
        <f>SUMIF(Table1[Warehouse], Table3[[#This Row],[Warehouse]], Table1[Quantity])</f>
        <v>262053</v>
      </c>
      <c r="S3" s="4">
        <f>SUMIF(Table1[Warehouse], P3, Table1[Total CBM])</f>
        <v>15034.282489395822</v>
      </c>
      <c r="T3" s="4" cm="1">
        <f t="array" ref="T3">COUNTA(_xlfn.UNIQUE(_xlfn._xlws.FILTER(Table1[Date],(Table1[Warehouse]=P3)*(Table1[Orders]&gt;0))))</f>
        <v>137</v>
      </c>
      <c r="U3" s="4">
        <f>Table3[[#This Row],[Total Orders]]/Table3[[#This Row],[Active Day]]</f>
        <v>117.82481751824818</v>
      </c>
      <c r="V3" s="4">
        <f>Table3[[#This Row],[Total CBM]]/Table3[[#This Row],[Active Day]]</f>
        <v>109.73928824376513</v>
      </c>
      <c r="W3" s="4">
        <f>_xlfn.MAXIFS(Table1[Orders], Table1[Warehouse],Table3[[#This Row],[Warehouse]])</f>
        <v>855</v>
      </c>
      <c r="X3" s="4" cm="1">
        <f t="array" ref="X3">_xlfn.PERCENTILE.INC(_xlfn._xlws.FILTER(Table1[Orders],(Table1[Warehouse]=Table3[[#This Row],[Warehouse]])*(Table1[Orders]&gt;0)),0.95)</f>
        <v>587</v>
      </c>
      <c r="Y3" s="4">
        <f>Table3[[#This Row],[P95 Daily Orders]]/Table3[[#This Row],[Average Orders per Day]]</f>
        <v>4.9819724941147312</v>
      </c>
    </row>
    <row r="4" spans="1:25" x14ac:dyDescent="0.3">
      <c r="A4" s="1" t="s">
        <v>27</v>
      </c>
      <c r="B4" s="5">
        <v>0.3</v>
      </c>
      <c r="E4" s="6" t="s">
        <v>28</v>
      </c>
      <c r="F4" s="6" t="s">
        <v>24</v>
      </c>
      <c r="G4" s="6">
        <v>64</v>
      </c>
      <c r="H4" s="6">
        <v>3180</v>
      </c>
      <c r="I4" s="6">
        <v>204.13114979999997</v>
      </c>
      <c r="J4" s="7">
        <v>16</v>
      </c>
      <c r="K4" s="4">
        <f>Table1[[#This Row],[Quantity]]/Table1[[#This Row],[Orders]]</f>
        <v>49.6875</v>
      </c>
      <c r="L4" s="4">
        <f>Table1[[#This Row],[Total CBM]]/Table1[[#This Row],[Orders]]</f>
        <v>3.1895492156249996</v>
      </c>
      <c r="M4" s="6" t="s">
        <v>25</v>
      </c>
      <c r="N4" s="3" t="s">
        <v>26</v>
      </c>
      <c r="P4" s="3" t="s">
        <v>29</v>
      </c>
      <c r="Q4" s="3">
        <f>SUMIF(Table1[Warehouse], P4, Table1[Orders])</f>
        <v>5258</v>
      </c>
      <c r="R4" s="4">
        <f>SUMIF(Table1[Warehouse], Table3[[#This Row],[Warehouse]], Table1[Quantity])</f>
        <v>19651.732936507935</v>
      </c>
      <c r="S4" s="4">
        <f>SUMIF(Table1[Warehouse], P4, Table1[Total CBM])</f>
        <v>1093.7778043268374</v>
      </c>
      <c r="T4" s="4" cm="1">
        <f t="array" ref="T4">COUNTA(_xlfn.UNIQUE(_xlfn._xlws.FILTER(Table1[Date],(Table1[Warehouse]=P4)*(Table1[Orders]&gt;0))))</f>
        <v>26</v>
      </c>
      <c r="U4" s="4">
        <f>Table3[[#This Row],[Total Orders]]/Table3[[#This Row],[Active Day]]</f>
        <v>202.23076923076923</v>
      </c>
      <c r="V4" s="4">
        <f>Table3[[#This Row],[Total CBM]]/Table3[[#This Row],[Active Day]]</f>
        <v>42.068377089493751</v>
      </c>
      <c r="W4" s="4">
        <f>_xlfn.MAXIFS(Table1[Orders], Table1[Warehouse],Table3[[#This Row],[Warehouse]])</f>
        <v>580</v>
      </c>
      <c r="X4" s="4" cm="1">
        <f t="array" ref="X4">_xlfn.PERCENTILE.INC(_xlfn._xlws.FILTER(Table1[Orders],(Table1[Warehouse]=Table3[[#This Row],[Warehouse]])*(Table1[Orders]&gt;0)),0.95)</f>
        <v>307.5</v>
      </c>
      <c r="Y4" s="4">
        <f>Table3[[#This Row],[P95 Daily Orders]]/Table3[[#This Row],[Average Orders per Day]]</f>
        <v>1.5205401293267402</v>
      </c>
    </row>
    <row r="5" spans="1:25" x14ac:dyDescent="0.3">
      <c r="A5" s="1" t="s">
        <v>30</v>
      </c>
      <c r="B5" s="5">
        <v>0.6</v>
      </c>
      <c r="E5" s="6" t="s">
        <v>31</v>
      </c>
      <c r="F5" s="6" t="s">
        <v>24</v>
      </c>
      <c r="G5" s="6">
        <v>39</v>
      </c>
      <c r="H5" s="6">
        <v>1619</v>
      </c>
      <c r="I5" s="6">
        <v>114.76802320000003</v>
      </c>
      <c r="J5" s="7">
        <v>18</v>
      </c>
      <c r="K5" s="4">
        <f>Table1[[#This Row],[Quantity]]/Table1[[#This Row],[Orders]]</f>
        <v>41.512820512820511</v>
      </c>
      <c r="L5" s="4">
        <f>Table1[[#This Row],[Total CBM]]/Table1[[#This Row],[Orders]]</f>
        <v>2.9427698256410264</v>
      </c>
      <c r="M5" s="6" t="s">
        <v>25</v>
      </c>
      <c r="N5" s="3" t="s">
        <v>26</v>
      </c>
      <c r="P5" s="3"/>
      <c r="Q5" s="3"/>
      <c r="R5" s="4"/>
      <c r="S5" s="4"/>
      <c r="T5" s="4"/>
      <c r="U5" s="4"/>
      <c r="V5" s="4"/>
      <c r="W5" s="4"/>
      <c r="X5" s="4"/>
      <c r="Y5" s="4"/>
    </row>
    <row r="6" spans="1:25" x14ac:dyDescent="0.3">
      <c r="A6" s="1" t="s">
        <v>32</v>
      </c>
      <c r="B6" s="8">
        <v>1.5</v>
      </c>
      <c r="E6" s="6" t="s">
        <v>33</v>
      </c>
      <c r="F6" s="6" t="s">
        <v>24</v>
      </c>
      <c r="G6" s="6">
        <v>20</v>
      </c>
      <c r="H6" s="6">
        <v>651</v>
      </c>
      <c r="I6" s="6">
        <v>43.074220499999996</v>
      </c>
      <c r="J6" s="7">
        <v>5</v>
      </c>
      <c r="K6" s="4">
        <f>Table1[[#This Row],[Quantity]]/Table1[[#This Row],[Orders]]</f>
        <v>32.549999999999997</v>
      </c>
      <c r="L6" s="4">
        <f>Table1[[#This Row],[Total CBM]]/Table1[[#This Row],[Orders]]</f>
        <v>2.1537110249999998</v>
      </c>
      <c r="M6" s="6" t="s">
        <v>25</v>
      </c>
      <c r="N6" s="3" t="s">
        <v>26</v>
      </c>
    </row>
    <row r="7" spans="1:25" x14ac:dyDescent="0.3">
      <c r="A7" s="1" t="s">
        <v>34</v>
      </c>
      <c r="B7" s="8">
        <v>5</v>
      </c>
      <c r="E7" s="6" t="s">
        <v>35</v>
      </c>
      <c r="F7" s="6" t="s">
        <v>24</v>
      </c>
      <c r="G7" s="6">
        <v>19</v>
      </c>
      <c r="H7" s="6">
        <v>203</v>
      </c>
      <c r="I7" s="6">
        <v>13.56141769125</v>
      </c>
      <c r="J7" s="7">
        <v>12</v>
      </c>
      <c r="K7" s="4">
        <f>Table1[[#This Row],[Quantity]]/Table1[[#This Row],[Orders]]</f>
        <v>10.684210526315789</v>
      </c>
      <c r="L7" s="4">
        <f>Table1[[#This Row],[Total CBM]]/Table1[[#This Row],[Orders]]</f>
        <v>0.71375882585526318</v>
      </c>
      <c r="M7" s="6" t="s">
        <v>25</v>
      </c>
      <c r="N7" s="3" t="s">
        <v>26</v>
      </c>
      <c r="P7" s="2" t="s">
        <v>5</v>
      </c>
      <c r="Q7" s="2" t="s">
        <v>12</v>
      </c>
      <c r="R7" s="2" t="s">
        <v>6</v>
      </c>
      <c r="S7" s="2" t="s">
        <v>7</v>
      </c>
      <c r="T7" s="2" t="s">
        <v>8</v>
      </c>
      <c r="U7" s="2" t="s">
        <v>36</v>
      </c>
      <c r="V7" s="2" t="s">
        <v>37</v>
      </c>
      <c r="W7" s="2" t="s">
        <v>38</v>
      </c>
      <c r="X7" s="2" t="s">
        <v>39</v>
      </c>
    </row>
    <row r="8" spans="1:25" x14ac:dyDescent="0.3">
      <c r="A8" s="1" t="s">
        <v>40</v>
      </c>
      <c r="B8" s="8">
        <v>0.05</v>
      </c>
      <c r="E8" s="6" t="s">
        <v>41</v>
      </c>
      <c r="F8" s="6" t="s">
        <v>24</v>
      </c>
      <c r="G8" s="6">
        <v>30</v>
      </c>
      <c r="H8" s="6">
        <v>5193</v>
      </c>
      <c r="I8" s="6">
        <v>343.5239274000001</v>
      </c>
      <c r="J8" s="7">
        <v>7</v>
      </c>
      <c r="K8" s="4">
        <f>Table1[[#This Row],[Quantity]]/Table1[[#This Row],[Orders]]</f>
        <v>173.1</v>
      </c>
      <c r="L8" s="4">
        <f>Table1[[#This Row],[Total CBM]]/Table1[[#This Row],[Orders]]</f>
        <v>11.450797580000003</v>
      </c>
      <c r="M8" s="6" t="s">
        <v>25</v>
      </c>
      <c r="N8" s="3" t="s">
        <v>26</v>
      </c>
      <c r="P8" s="3" t="s">
        <v>24</v>
      </c>
      <c r="Q8" s="3" t="s">
        <v>25</v>
      </c>
      <c r="R8" s="3">
        <f>SUMIFS(Table1[Orders],Table1[Warehouse],Table25[[#This Row],[Warehouse]],Table1[Channel],Table25[[#This Row],[Channel]])</f>
        <v>15397</v>
      </c>
      <c r="S8" s="3">
        <f>SUMIFS(Table1[Quantity],Table1[Warehouse],Table25[[#This Row],[Warehouse]],Table1[Channel],Table25[[#This Row],[Channel]])</f>
        <v>259646</v>
      </c>
      <c r="T8" s="4">
        <f>SUMIFS(Table1[Total CBM],Table1[Warehouse],Table25[[#This Row],[Warehouse]],Table1[Channel],Table25[[#This Row],[Channel]])</f>
        <v>14916.562221939463</v>
      </c>
      <c r="U8" s="4">
        <f>Table25[[#This Row],[Total CBM]]/Table25[[#This Row],[Orders]]</f>
        <v>0.96879666311225976</v>
      </c>
      <c r="V8" s="9">
        <f>IFERROR(Table25[[#This Row],[Orders]]/SUMIFS(Table25[Orders],Table25[Warehouse],Table25[[#This Row],[Warehouse]]),0)</f>
        <v>0.95384710692603147</v>
      </c>
      <c r="W8" s="9">
        <f>IFERROR(Table25[[#This Row],[Total CBM]]/SUMIFS(Table25[Total CBM],Table25[Warehouse],Table25[[#This Row],[Warehouse]]),0)</f>
        <v>0.99216987790808164</v>
      </c>
      <c r="X8" s="3" t="str">
        <f>IF(AND(Table25[[#This Row],[Channel]]="B2B",Table25[[#This Row],[Average CBM per Orders]]&gt;AVERAGE(Table25[Average CBM per Orders])),"Large-volume flow",IF(AND(Table25[[#This Row],[Channel]]="B2C",Table25[[#This Row],[Average CBM per Orders]]&lt;$B$8),"Small fragmented flow","Mixed flow"))</f>
        <v>Large-volume flow</v>
      </c>
    </row>
    <row r="9" spans="1:25" x14ac:dyDescent="0.3">
      <c r="A9" s="1" t="s">
        <v>42</v>
      </c>
      <c r="B9" s="8" t="s">
        <v>43</v>
      </c>
      <c r="E9" s="6" t="s">
        <v>44</v>
      </c>
      <c r="F9" s="6" t="s">
        <v>24</v>
      </c>
      <c r="G9" s="6">
        <v>25</v>
      </c>
      <c r="H9" s="6">
        <v>1671</v>
      </c>
      <c r="I9" s="6">
        <v>102.99585609999997</v>
      </c>
      <c r="J9" s="7">
        <v>19</v>
      </c>
      <c r="K9" s="4">
        <f>Table1[[#This Row],[Quantity]]/Table1[[#This Row],[Orders]]</f>
        <v>66.84</v>
      </c>
      <c r="L9" s="4">
        <f>Table1[[#This Row],[Total CBM]]/Table1[[#This Row],[Orders]]</f>
        <v>4.1198342439999989</v>
      </c>
      <c r="M9" s="6" t="s">
        <v>25</v>
      </c>
      <c r="N9" s="3" t="s">
        <v>26</v>
      </c>
      <c r="P9" s="3" t="s">
        <v>24</v>
      </c>
      <c r="Q9" s="3" t="s">
        <v>45</v>
      </c>
      <c r="R9" s="3">
        <f>SUMIFS(Table1[Orders],Table1[Warehouse],Table25[[#This Row],[Warehouse]],Table1[Channel],Table25[[#This Row],[Channel]])</f>
        <v>745</v>
      </c>
      <c r="S9" s="3">
        <f>SUMIFS(Table1[Quantity],Table1[Warehouse],Table25[[#This Row],[Warehouse]],Table1[Channel],Table25[[#This Row],[Channel]])</f>
        <v>2407</v>
      </c>
      <c r="T9" s="4">
        <f>SUMIFS(Table1[Total CBM],Table1[Warehouse],Table25[[#This Row],[Warehouse]],Table1[Channel],Table25[[#This Row],[Channel]])</f>
        <v>117.72026745635912</v>
      </c>
      <c r="U9" s="4">
        <f>Table25[[#This Row],[Total CBM]]/Table25[[#This Row],[Orders]]</f>
        <v>0.15801378182061626</v>
      </c>
      <c r="V9" s="9">
        <f>IFERROR(Table25[[#This Row],[Orders]]/SUMIFS(Table25[Orders],Table25[Warehouse],Table25[[#This Row],[Warehouse]]),0)</f>
        <v>4.6152893073968526E-2</v>
      </c>
      <c r="W9" s="9">
        <f>IFERROR(Table25[[#This Row],[Total CBM]]/SUMIFS(Table25[Total CBM],Table25[Warehouse],Table25[[#This Row],[Warehouse]]),0)</f>
        <v>7.830122091918329E-3</v>
      </c>
      <c r="X9" s="3" t="str">
        <f>IF(AND(Table25[[#This Row],[Channel]]="B2B",Table25[[#This Row],[Average CBM per Orders]]&gt;AVERAGE(Table25[Average CBM per Orders])),"Large-volume flow",IF(AND(Table25[[#This Row],[Channel]]="B2C",Table25[[#This Row],[Average CBM per Orders]]&lt;$B$8),"Small fragmented flow","Mixed flow"))</f>
        <v>Mixed flow</v>
      </c>
    </row>
    <row r="10" spans="1:25" ht="13.2" customHeight="1" x14ac:dyDescent="0.3">
      <c r="A10" s="1" t="s">
        <v>46</v>
      </c>
      <c r="B10" s="8" t="s">
        <v>47</v>
      </c>
      <c r="E10" s="6" t="s">
        <v>48</v>
      </c>
      <c r="F10" s="6" t="s">
        <v>24</v>
      </c>
      <c r="G10" s="6">
        <v>35</v>
      </c>
      <c r="H10" s="6">
        <v>1183</v>
      </c>
      <c r="I10" s="6">
        <v>105.57170116666666</v>
      </c>
      <c r="J10" s="7">
        <v>21</v>
      </c>
      <c r="K10" s="4">
        <f>Table1[[#This Row],[Quantity]]/Table1[[#This Row],[Orders]]</f>
        <v>33.799999999999997</v>
      </c>
      <c r="L10" s="4">
        <f>Table1[[#This Row],[Total CBM]]/Table1[[#This Row],[Orders]]</f>
        <v>3.0163343190476186</v>
      </c>
      <c r="M10" s="6" t="s">
        <v>25</v>
      </c>
      <c r="N10" s="3" t="s">
        <v>26</v>
      </c>
      <c r="P10" s="3" t="s">
        <v>29</v>
      </c>
      <c r="Q10" s="3" t="s">
        <v>25</v>
      </c>
      <c r="R10" s="3">
        <f>SUMIFS(Table1[Orders],Table1[Warehouse],Table25[[#This Row],[Warehouse]],Table1[Channel],Table25[[#This Row],[Channel]])</f>
        <v>5154</v>
      </c>
      <c r="S10" s="3">
        <f>SUMIFS(Table1[Quantity],Table1[Warehouse],Table25[[#This Row],[Warehouse]],Table1[Channel],Table25[[#This Row],[Channel]])</f>
        <v>19603.907936507934</v>
      </c>
      <c r="T10" s="4">
        <f>SUMIFS(Table1[Total CBM],Table1[Warehouse],Table25[[#This Row],[Warehouse]],Table1[Channel],Table25[[#This Row],[Channel]])</f>
        <v>1090.5779365111375</v>
      </c>
      <c r="U10" s="4">
        <f>Table25[[#This Row],[Total CBM]]/Table25[[#This Row],[Orders]]</f>
        <v>0.21159835787953774</v>
      </c>
      <c r="V10" s="9">
        <f>IFERROR(Table25[[#This Row],[Orders]]/SUMIFS(Table25[Orders],Table25[Warehouse],Table25[[#This Row],[Warehouse]]),0)</f>
        <v>0.98022061620387979</v>
      </c>
      <c r="W10" s="9">
        <f>IFERROR(Table25[[#This Row],[Total CBM]]/SUMIFS(Table25[Total CBM],Table25[Warehouse],Table25[[#This Row],[Warehouse]]),0)</f>
        <v>0.99707448093841211</v>
      </c>
      <c r="X10" s="3" t="str">
        <f>IF(AND(Table25[[#This Row],[Channel]]="B2B",Table25[[#This Row],[Average CBM per Orders]]&gt;AVERAGE(Table25[Average CBM per Orders])),"Large-volume flow",IF(AND(Table25[[#This Row],[Channel]]="B2C",Table25[[#This Row],[Average CBM per Orders]]&lt;$B$8),"Small fragmented flow","Mixed flow"))</f>
        <v>Mixed flow</v>
      </c>
    </row>
    <row r="11" spans="1:25" x14ac:dyDescent="0.3">
      <c r="E11" s="6" t="s">
        <v>49</v>
      </c>
      <c r="F11" s="6" t="s">
        <v>24</v>
      </c>
      <c r="G11" s="6">
        <v>26</v>
      </c>
      <c r="H11" s="6">
        <v>835</v>
      </c>
      <c r="I11" s="6">
        <v>48.616220999999996</v>
      </c>
      <c r="J11" s="7">
        <v>26</v>
      </c>
      <c r="K11" s="4">
        <f>Table1[[#This Row],[Quantity]]/Table1[[#This Row],[Orders]]</f>
        <v>32.115384615384613</v>
      </c>
      <c r="L11" s="4">
        <f>Table1[[#This Row],[Total CBM]]/Table1[[#This Row],[Orders]]</f>
        <v>1.8698546538461538</v>
      </c>
      <c r="M11" s="6" t="s">
        <v>25</v>
      </c>
      <c r="N11" s="3" t="s">
        <v>26</v>
      </c>
      <c r="P11" s="3" t="s">
        <v>29</v>
      </c>
      <c r="Q11" s="3" t="s">
        <v>45</v>
      </c>
      <c r="R11" s="3">
        <f>SUMIFS(Table1[Orders],Table1[Warehouse],Table25[[#This Row],[Warehouse]],Table1[Channel],Table25[[#This Row],[Channel]])</f>
        <v>104</v>
      </c>
      <c r="S11" s="3">
        <f>SUMIFS(Table1[Quantity],Table1[Warehouse],Table25[[#This Row],[Warehouse]],Table1[Channel],Table25[[#This Row],[Channel]])</f>
        <v>47.824999999999996</v>
      </c>
      <c r="T11" s="4">
        <f>SUMIFS(Table1[Total CBM],Table1[Warehouse],Table25[[#This Row],[Warehouse]],Table1[Channel],Table25[[#This Row],[Channel]])</f>
        <v>3.1998678156999998</v>
      </c>
      <c r="U11" s="4">
        <f>Table25[[#This Row],[Total CBM]]/Table25[[#This Row],[Orders]]</f>
        <v>3.0767959766346151E-2</v>
      </c>
      <c r="V11" s="9">
        <f>IFERROR(Table25[[#This Row],[Orders]]/SUMIFS(Table25[Orders],Table25[Warehouse],Table25[[#This Row],[Warehouse]]),0)</f>
        <v>1.9779383796120199E-2</v>
      </c>
      <c r="W11" s="9">
        <f>IFERROR(Table25[[#This Row],[Total CBM]]/SUMIFS(Table25[Total CBM],Table25[Warehouse],Table25[[#This Row],[Warehouse]]),0)</f>
        <v>2.9255190615879701E-3</v>
      </c>
      <c r="X11" s="3" t="str">
        <f>IF(AND(Table25[[#This Row],[Channel]]="B2B",Table25[[#This Row],[Average CBM per Orders]]&gt;AVERAGE(Table25[Average CBM per Orders])),"Large-volume flow",IF(AND(Table25[[#This Row],[Channel]]="B2C",Table25[[#This Row],[Average CBM per Orders]]&lt;$B$8),"Small fragmented flow","Mixed flow"))</f>
        <v>Small fragmented flow</v>
      </c>
    </row>
    <row r="12" spans="1:25" x14ac:dyDescent="0.3">
      <c r="E12" s="6" t="s">
        <v>50</v>
      </c>
      <c r="F12" s="6" t="s">
        <v>24</v>
      </c>
      <c r="G12" s="6">
        <v>654</v>
      </c>
      <c r="H12" s="6">
        <v>3320</v>
      </c>
      <c r="I12" s="6">
        <v>157.08924407413343</v>
      </c>
      <c r="J12" s="7">
        <v>46</v>
      </c>
      <c r="K12" s="4">
        <f>Table1[[#This Row],[Quantity]]/Table1[[#This Row],[Orders]]</f>
        <v>5.0764525993883796</v>
      </c>
      <c r="L12" s="4">
        <f>Table1[[#This Row],[Total CBM]]/Table1[[#This Row],[Orders]]</f>
        <v>0.24019762090846092</v>
      </c>
      <c r="M12" s="6" t="s">
        <v>25</v>
      </c>
      <c r="N12" s="3" t="s">
        <v>26</v>
      </c>
    </row>
    <row r="13" spans="1:25" x14ac:dyDescent="0.3">
      <c r="E13" s="6" t="s">
        <v>51</v>
      </c>
      <c r="F13" s="6" t="s">
        <v>24</v>
      </c>
      <c r="G13" s="6">
        <v>4</v>
      </c>
      <c r="H13" s="6">
        <v>720</v>
      </c>
      <c r="I13" s="6">
        <v>39.257750000000001</v>
      </c>
      <c r="J13" s="7">
        <v>4</v>
      </c>
      <c r="K13" s="4">
        <f>Table1[[#This Row],[Quantity]]/Table1[[#This Row],[Orders]]</f>
        <v>180</v>
      </c>
      <c r="L13" s="4">
        <f>Table1[[#This Row],[Total CBM]]/Table1[[#This Row],[Orders]]</f>
        <v>9.8144375000000004</v>
      </c>
      <c r="M13" s="6" t="s">
        <v>25</v>
      </c>
      <c r="N13" s="3" t="s">
        <v>26</v>
      </c>
    </row>
    <row r="14" spans="1:25" x14ac:dyDescent="0.3">
      <c r="E14" s="6" t="s">
        <v>52</v>
      </c>
      <c r="F14" s="6" t="s">
        <v>24</v>
      </c>
      <c r="G14" s="6">
        <v>80</v>
      </c>
      <c r="H14" s="6">
        <v>5843</v>
      </c>
      <c r="I14" s="6">
        <v>394.71265890000006</v>
      </c>
      <c r="J14" s="7">
        <v>18</v>
      </c>
      <c r="K14" s="4">
        <f>Table1[[#This Row],[Quantity]]/Table1[[#This Row],[Orders]]</f>
        <v>73.037499999999994</v>
      </c>
      <c r="L14" s="4">
        <f>Table1[[#This Row],[Total CBM]]/Table1[[#This Row],[Orders]]</f>
        <v>4.9339082362500006</v>
      </c>
      <c r="M14" s="6" t="s">
        <v>25</v>
      </c>
      <c r="N14" s="3" t="s">
        <v>26</v>
      </c>
      <c r="P14" s="1" t="s">
        <v>53</v>
      </c>
      <c r="Q14" s="2" t="s">
        <v>1</v>
      </c>
    </row>
    <row r="15" spans="1:25" x14ac:dyDescent="0.3">
      <c r="E15" s="6" t="s">
        <v>54</v>
      </c>
      <c r="F15" s="6" t="s">
        <v>24</v>
      </c>
      <c r="G15" s="6">
        <v>24</v>
      </c>
      <c r="H15" s="6">
        <v>3450</v>
      </c>
      <c r="I15" s="6">
        <v>232.16434900000002</v>
      </c>
      <c r="J15" s="7">
        <v>14</v>
      </c>
      <c r="K15" s="4">
        <f>Table1[[#This Row],[Quantity]]/Table1[[#This Row],[Orders]]</f>
        <v>143.75</v>
      </c>
      <c r="L15" s="4">
        <f>Table1[[#This Row],[Total CBM]]/Table1[[#This Row],[Orders]]</f>
        <v>9.6735145416666679</v>
      </c>
      <c r="M15" s="6" t="s">
        <v>25</v>
      </c>
      <c r="N15" s="3" t="s">
        <v>26</v>
      </c>
      <c r="P15" s="1" t="s">
        <v>14</v>
      </c>
      <c r="Q15" s="2">
        <f>SUM($Q$3:$Q$4)</f>
        <v>21400</v>
      </c>
    </row>
    <row r="16" spans="1:25" x14ac:dyDescent="0.3">
      <c r="E16" s="6" t="s">
        <v>55</v>
      </c>
      <c r="F16" s="6" t="s">
        <v>24</v>
      </c>
      <c r="G16" s="6">
        <v>86</v>
      </c>
      <c r="H16" s="6">
        <v>5183</v>
      </c>
      <c r="I16" s="6">
        <v>288.93038339999998</v>
      </c>
      <c r="J16" s="7">
        <v>31</v>
      </c>
      <c r="K16" s="4">
        <f>Table1[[#This Row],[Quantity]]/Table1[[#This Row],[Orders]]</f>
        <v>60.267441860465119</v>
      </c>
      <c r="L16" s="4">
        <f>Table1[[#This Row],[Total CBM]]/Table1[[#This Row],[Orders]]</f>
        <v>3.3596556209302322</v>
      </c>
      <c r="M16" s="6" t="s">
        <v>25</v>
      </c>
      <c r="N16" s="3" t="s">
        <v>26</v>
      </c>
      <c r="P16" s="1" t="s">
        <v>8</v>
      </c>
      <c r="Q16" s="10">
        <f>SUM($S$3:$S$4)</f>
        <v>16128.060293722659</v>
      </c>
    </row>
    <row r="17" spans="5:17" x14ac:dyDescent="0.3">
      <c r="E17" s="6" t="s">
        <v>56</v>
      </c>
      <c r="F17" s="6" t="s">
        <v>24</v>
      </c>
      <c r="G17" s="6">
        <v>28</v>
      </c>
      <c r="H17" s="6">
        <v>1923</v>
      </c>
      <c r="I17" s="6">
        <v>104.40877883333333</v>
      </c>
      <c r="J17" s="7">
        <v>18</v>
      </c>
      <c r="K17" s="4">
        <f>Table1[[#This Row],[Quantity]]/Table1[[#This Row],[Orders]]</f>
        <v>68.678571428571431</v>
      </c>
      <c r="L17" s="4">
        <f>Table1[[#This Row],[Total CBM]]/Table1[[#This Row],[Orders]]</f>
        <v>3.728884958333333</v>
      </c>
      <c r="M17" s="6" t="s">
        <v>25</v>
      </c>
      <c r="N17" s="3" t="s">
        <v>26</v>
      </c>
      <c r="P17" s="1" t="s">
        <v>57</v>
      </c>
      <c r="Q17" s="10">
        <f>SUM($R$3:$R$4)</f>
        <v>281704.73293650791</v>
      </c>
    </row>
    <row r="18" spans="5:17" x14ac:dyDescent="0.3">
      <c r="E18" s="6" t="s">
        <v>58</v>
      </c>
      <c r="F18" s="6" t="s">
        <v>24</v>
      </c>
      <c r="G18" s="6">
        <v>311</v>
      </c>
      <c r="H18" s="6">
        <v>2362</v>
      </c>
      <c r="I18" s="6">
        <v>114.05231836066666</v>
      </c>
      <c r="J18" s="7">
        <v>39</v>
      </c>
      <c r="K18" s="4">
        <f>Table1[[#This Row],[Quantity]]/Table1[[#This Row],[Orders]]</f>
        <v>7.594855305466238</v>
      </c>
      <c r="L18" s="4">
        <f>Table1[[#This Row],[Total CBM]]/Table1[[#This Row],[Orders]]</f>
        <v>0.36672771177063235</v>
      </c>
      <c r="M18" s="6" t="s">
        <v>25</v>
      </c>
      <c r="N18" s="3" t="s">
        <v>26</v>
      </c>
      <c r="P18" s="1" t="s">
        <v>59</v>
      </c>
      <c r="Q18" s="10">
        <f>SUMIF($Q$8:$Q$11,"B2B",$T$8:$T$11)/SUM($T$8:$T$11)</f>
        <v>0.99250249980035576</v>
      </c>
    </row>
    <row r="19" spans="5:17" x14ac:dyDescent="0.3">
      <c r="E19" s="6" t="s">
        <v>60</v>
      </c>
      <c r="F19" s="6" t="s">
        <v>24</v>
      </c>
      <c r="G19" s="6">
        <v>297</v>
      </c>
      <c r="H19" s="6">
        <v>1097</v>
      </c>
      <c r="I19" s="6">
        <v>44.979040342333292</v>
      </c>
      <c r="J19" s="7">
        <v>40</v>
      </c>
      <c r="K19" s="4">
        <f>Table1[[#This Row],[Quantity]]/Table1[[#This Row],[Orders]]</f>
        <v>3.6936026936026938</v>
      </c>
      <c r="L19" s="4">
        <f>Table1[[#This Row],[Total CBM]]/Table1[[#This Row],[Orders]]</f>
        <v>0.15144458027721647</v>
      </c>
      <c r="M19" s="6" t="s">
        <v>25</v>
      </c>
      <c r="N19" s="3" t="s">
        <v>26</v>
      </c>
      <c r="P19" s="1" t="s">
        <v>61</v>
      </c>
      <c r="Q19" s="10">
        <f>1-Q18</f>
        <v>7.4975001996442359E-3</v>
      </c>
    </row>
    <row r="20" spans="5:17" x14ac:dyDescent="0.3">
      <c r="E20" s="6" t="s">
        <v>62</v>
      </c>
      <c r="F20" s="6" t="s">
        <v>24</v>
      </c>
      <c r="G20" s="6">
        <v>29</v>
      </c>
      <c r="H20" s="6">
        <v>4566</v>
      </c>
      <c r="I20" s="6">
        <v>301.44543250000009</v>
      </c>
      <c r="J20" s="7">
        <v>16</v>
      </c>
      <c r="K20" s="4">
        <f>Table1[[#This Row],[Quantity]]/Table1[[#This Row],[Orders]]</f>
        <v>157.44827586206895</v>
      </c>
      <c r="L20" s="4">
        <f>Table1[[#This Row],[Total CBM]]/Table1[[#This Row],[Orders]]</f>
        <v>10.394670086206899</v>
      </c>
      <c r="M20" s="6" t="s">
        <v>25</v>
      </c>
      <c r="N20" s="3" t="s">
        <v>26</v>
      </c>
      <c r="P20" s="1"/>
    </row>
    <row r="21" spans="5:17" x14ac:dyDescent="0.3">
      <c r="E21" s="6" t="s">
        <v>63</v>
      </c>
      <c r="F21" s="6" t="s">
        <v>24</v>
      </c>
      <c r="G21" s="6">
        <v>36</v>
      </c>
      <c r="H21" s="6">
        <v>3536</v>
      </c>
      <c r="I21" s="6">
        <v>202.55869500000003</v>
      </c>
      <c r="J21" s="7">
        <v>19</v>
      </c>
      <c r="K21" s="4">
        <f>Table1[[#This Row],[Quantity]]/Table1[[#This Row],[Orders]]</f>
        <v>98.222222222222229</v>
      </c>
      <c r="L21" s="4">
        <f>Table1[[#This Row],[Total CBM]]/Table1[[#This Row],[Orders]]</f>
        <v>5.6266304166666679</v>
      </c>
      <c r="M21" s="6" t="s">
        <v>25</v>
      </c>
      <c r="N21" s="3" t="s">
        <v>26</v>
      </c>
      <c r="P21" s="1"/>
    </row>
    <row r="22" spans="5:17" x14ac:dyDescent="0.3">
      <c r="E22" s="6" t="s">
        <v>64</v>
      </c>
      <c r="F22" s="6" t="s">
        <v>24</v>
      </c>
      <c r="G22" s="6">
        <v>19</v>
      </c>
      <c r="H22" s="6">
        <v>255</v>
      </c>
      <c r="I22" s="6">
        <v>14.727417000000003</v>
      </c>
      <c r="J22" s="7">
        <v>18</v>
      </c>
      <c r="K22" s="4">
        <f>Table1[[#This Row],[Quantity]]/Table1[[#This Row],[Orders]]</f>
        <v>13.421052631578947</v>
      </c>
      <c r="L22" s="4">
        <f>Table1[[#This Row],[Total CBM]]/Table1[[#This Row],[Orders]]</f>
        <v>0.77512721052631595</v>
      </c>
      <c r="M22" s="6" t="s">
        <v>25</v>
      </c>
      <c r="N22" s="3" t="s">
        <v>26</v>
      </c>
    </row>
    <row r="23" spans="5:17" x14ac:dyDescent="0.3">
      <c r="E23" s="6" t="s">
        <v>65</v>
      </c>
      <c r="F23" s="6" t="s">
        <v>24</v>
      </c>
      <c r="G23" s="6">
        <v>14</v>
      </c>
      <c r="H23" s="6">
        <v>826</v>
      </c>
      <c r="I23" s="6">
        <v>47.498694999999998</v>
      </c>
      <c r="J23" s="7">
        <v>13</v>
      </c>
      <c r="K23" s="4">
        <f>Table1[[#This Row],[Quantity]]/Table1[[#This Row],[Orders]]</f>
        <v>59</v>
      </c>
      <c r="L23" s="4">
        <f>Table1[[#This Row],[Total CBM]]/Table1[[#This Row],[Orders]]</f>
        <v>3.3927639285714286</v>
      </c>
      <c r="M23" s="6" t="s">
        <v>25</v>
      </c>
      <c r="N23" s="3" t="s">
        <v>26</v>
      </c>
    </row>
    <row r="24" spans="5:17" x14ac:dyDescent="0.3">
      <c r="E24" s="6" t="s">
        <v>66</v>
      </c>
      <c r="F24" s="6" t="s">
        <v>24</v>
      </c>
      <c r="G24" s="6">
        <v>37</v>
      </c>
      <c r="H24" s="6">
        <v>791</v>
      </c>
      <c r="I24" s="6">
        <v>48.467112</v>
      </c>
      <c r="J24" s="7">
        <v>26</v>
      </c>
      <c r="K24" s="4">
        <f>Table1[[#This Row],[Quantity]]/Table1[[#This Row],[Orders]]</f>
        <v>21.378378378378379</v>
      </c>
      <c r="L24" s="4">
        <f>Table1[[#This Row],[Total CBM]]/Table1[[#This Row],[Orders]]</f>
        <v>1.3099219459459459</v>
      </c>
      <c r="M24" s="6" t="s">
        <v>25</v>
      </c>
      <c r="N24" s="3" t="s">
        <v>26</v>
      </c>
      <c r="P24" s="1"/>
    </row>
    <row r="25" spans="5:17" x14ac:dyDescent="0.3">
      <c r="E25" s="6" t="s">
        <v>67</v>
      </c>
      <c r="F25" s="6" t="s">
        <v>24</v>
      </c>
      <c r="G25" s="6">
        <v>83</v>
      </c>
      <c r="H25" s="6">
        <v>3630</v>
      </c>
      <c r="I25" s="6">
        <v>195.8865375</v>
      </c>
      <c r="J25" s="7">
        <v>36</v>
      </c>
      <c r="K25" s="4">
        <f>Table1[[#This Row],[Quantity]]/Table1[[#This Row],[Orders]]</f>
        <v>43.734939759036145</v>
      </c>
      <c r="L25" s="4">
        <f>Table1[[#This Row],[Total CBM]]/Table1[[#This Row],[Orders]]</f>
        <v>2.3600787650602411</v>
      </c>
      <c r="M25" s="6" t="s">
        <v>25</v>
      </c>
      <c r="N25" s="3" t="s">
        <v>26</v>
      </c>
      <c r="P25" s="1"/>
    </row>
    <row r="26" spans="5:17" x14ac:dyDescent="0.3">
      <c r="E26" s="6" t="s">
        <v>68</v>
      </c>
      <c r="F26" s="6" t="s">
        <v>24</v>
      </c>
      <c r="G26" s="6">
        <v>24</v>
      </c>
      <c r="H26" s="6">
        <v>4384</v>
      </c>
      <c r="I26" s="6">
        <v>304.59635300000014</v>
      </c>
      <c r="J26" s="7">
        <v>14</v>
      </c>
      <c r="K26" s="4">
        <f>Table1[[#This Row],[Quantity]]/Table1[[#This Row],[Orders]]</f>
        <v>182.66666666666666</v>
      </c>
      <c r="L26" s="4">
        <f>Table1[[#This Row],[Total CBM]]/Table1[[#This Row],[Orders]]</f>
        <v>12.691514708333338</v>
      </c>
      <c r="M26" s="6" t="s">
        <v>25</v>
      </c>
      <c r="N26" s="3" t="s">
        <v>26</v>
      </c>
    </row>
    <row r="27" spans="5:17" x14ac:dyDescent="0.3">
      <c r="E27" s="6" t="s">
        <v>69</v>
      </c>
      <c r="F27" s="6" t="s">
        <v>24</v>
      </c>
      <c r="G27" s="6">
        <v>225</v>
      </c>
      <c r="H27" s="6">
        <v>12509</v>
      </c>
      <c r="I27" s="6">
        <v>756.28890716666649</v>
      </c>
      <c r="J27" s="7">
        <v>40</v>
      </c>
      <c r="K27" s="4">
        <f>Table1[[#This Row],[Quantity]]/Table1[[#This Row],[Orders]]</f>
        <v>55.595555555555556</v>
      </c>
      <c r="L27" s="4">
        <f>Table1[[#This Row],[Total CBM]]/Table1[[#This Row],[Orders]]</f>
        <v>3.3612840318518509</v>
      </c>
      <c r="M27" s="6" t="s">
        <v>25</v>
      </c>
      <c r="N27" s="3" t="s">
        <v>26</v>
      </c>
    </row>
    <row r="28" spans="5:17" x14ac:dyDescent="0.3">
      <c r="E28" s="6" t="s">
        <v>69</v>
      </c>
      <c r="F28" s="6" t="s">
        <v>24</v>
      </c>
      <c r="G28" s="6">
        <v>28</v>
      </c>
      <c r="H28" s="6">
        <v>34</v>
      </c>
      <c r="I28" s="6">
        <v>1.9825239336000002</v>
      </c>
      <c r="J28" s="7">
        <v>22</v>
      </c>
      <c r="K28" s="4">
        <f>Table1[[#This Row],[Quantity]]/Table1[[#This Row],[Orders]]</f>
        <v>1.2142857142857142</v>
      </c>
      <c r="L28" s="4">
        <f>Table1[[#This Row],[Total CBM]]/Table1[[#This Row],[Orders]]</f>
        <v>7.0804426200000006E-2</v>
      </c>
      <c r="M28" s="6" t="s">
        <v>45</v>
      </c>
      <c r="N28" s="3" t="s">
        <v>26</v>
      </c>
    </row>
    <row r="29" spans="5:17" x14ac:dyDescent="0.3">
      <c r="E29" s="6" t="s">
        <v>70</v>
      </c>
      <c r="F29" s="6" t="s">
        <v>24</v>
      </c>
      <c r="G29" s="6">
        <v>2</v>
      </c>
      <c r="H29" s="6">
        <v>2</v>
      </c>
      <c r="I29" s="6">
        <v>0.13500000000000001</v>
      </c>
      <c r="J29" s="7">
        <v>2</v>
      </c>
      <c r="K29" s="4">
        <f>Table1[[#This Row],[Quantity]]/Table1[[#This Row],[Orders]]</f>
        <v>1</v>
      </c>
      <c r="L29" s="4">
        <f>Table1[[#This Row],[Total CBM]]/Table1[[#This Row],[Orders]]</f>
        <v>6.7500000000000004E-2</v>
      </c>
      <c r="M29" s="6" t="s">
        <v>25</v>
      </c>
      <c r="N29" s="3" t="s">
        <v>26</v>
      </c>
    </row>
    <row r="30" spans="5:17" x14ac:dyDescent="0.3">
      <c r="E30" s="6" t="s">
        <v>71</v>
      </c>
      <c r="F30" s="6" t="s">
        <v>24</v>
      </c>
      <c r="G30" s="6">
        <v>9</v>
      </c>
      <c r="H30" s="6">
        <v>434</v>
      </c>
      <c r="I30" s="6">
        <v>25.432199999999998</v>
      </c>
      <c r="J30" s="7">
        <v>8</v>
      </c>
      <c r="K30" s="4">
        <f>Table1[[#This Row],[Quantity]]/Table1[[#This Row],[Orders]]</f>
        <v>48.222222222222221</v>
      </c>
      <c r="L30" s="4">
        <f>Table1[[#This Row],[Total CBM]]/Table1[[#This Row],[Orders]]</f>
        <v>2.8257999999999996</v>
      </c>
      <c r="M30" s="6" t="s">
        <v>25</v>
      </c>
      <c r="N30" s="3" t="s">
        <v>26</v>
      </c>
    </row>
    <row r="31" spans="5:17" x14ac:dyDescent="0.3">
      <c r="E31" s="6" t="s">
        <v>72</v>
      </c>
      <c r="F31" s="6" t="s">
        <v>24</v>
      </c>
      <c r="G31" s="6">
        <v>18</v>
      </c>
      <c r="H31" s="6">
        <v>1237</v>
      </c>
      <c r="I31" s="6">
        <v>62.340324000000003</v>
      </c>
      <c r="J31" s="7">
        <v>15</v>
      </c>
      <c r="K31" s="4">
        <f>Table1[[#This Row],[Quantity]]/Table1[[#This Row],[Orders]]</f>
        <v>68.722222222222229</v>
      </c>
      <c r="L31" s="4">
        <f>Table1[[#This Row],[Total CBM]]/Table1[[#This Row],[Orders]]</f>
        <v>3.4633513333333337</v>
      </c>
      <c r="M31" s="6" t="s">
        <v>25</v>
      </c>
      <c r="N31" s="3" t="s">
        <v>26</v>
      </c>
    </row>
    <row r="32" spans="5:17" x14ac:dyDescent="0.3">
      <c r="E32" s="6" t="s">
        <v>73</v>
      </c>
      <c r="F32" s="6" t="s">
        <v>24</v>
      </c>
      <c r="G32" s="6">
        <v>15</v>
      </c>
      <c r="H32" s="6">
        <v>182</v>
      </c>
      <c r="I32" s="6">
        <v>9.9367562500000002</v>
      </c>
      <c r="J32" s="7">
        <v>12</v>
      </c>
      <c r="K32" s="4">
        <f>Table1[[#This Row],[Quantity]]/Table1[[#This Row],[Orders]]</f>
        <v>12.133333333333333</v>
      </c>
      <c r="L32" s="4">
        <f>Table1[[#This Row],[Total CBM]]/Table1[[#This Row],[Orders]]</f>
        <v>0.66245041666666671</v>
      </c>
      <c r="M32" s="6" t="s">
        <v>25</v>
      </c>
      <c r="N32" s="3" t="s">
        <v>26</v>
      </c>
    </row>
    <row r="33" spans="5:14" x14ac:dyDescent="0.3">
      <c r="E33" s="6" t="s">
        <v>74</v>
      </c>
      <c r="F33" s="6" t="s">
        <v>24</v>
      </c>
      <c r="G33" s="6">
        <v>788</v>
      </c>
      <c r="H33" s="6">
        <v>2483</v>
      </c>
      <c r="I33" s="6">
        <v>108.03619920540011</v>
      </c>
      <c r="J33" s="7">
        <v>39</v>
      </c>
      <c r="K33" s="4">
        <f>Table1[[#This Row],[Quantity]]/Table1[[#This Row],[Orders]]</f>
        <v>3.1510152284263961</v>
      </c>
      <c r="L33" s="4">
        <f>Table1[[#This Row],[Total CBM]]/Table1[[#This Row],[Orders]]</f>
        <v>0.13710177564137069</v>
      </c>
      <c r="M33" s="6" t="s">
        <v>25</v>
      </c>
      <c r="N33" s="3" t="s">
        <v>26</v>
      </c>
    </row>
    <row r="34" spans="5:14" x14ac:dyDescent="0.3">
      <c r="E34" s="6" t="s">
        <v>75</v>
      </c>
      <c r="F34" s="6" t="s">
        <v>24</v>
      </c>
      <c r="G34" s="6">
        <v>126</v>
      </c>
      <c r="H34" s="6">
        <v>3417</v>
      </c>
      <c r="I34" s="6">
        <v>222.12502153333338</v>
      </c>
      <c r="J34" s="7">
        <v>29</v>
      </c>
      <c r="K34" s="4">
        <f>Table1[[#This Row],[Quantity]]/Table1[[#This Row],[Orders]]</f>
        <v>27.11904761904762</v>
      </c>
      <c r="L34" s="4">
        <f>Table1[[#This Row],[Total CBM]]/Table1[[#This Row],[Orders]]</f>
        <v>1.7628969962962966</v>
      </c>
      <c r="M34" s="6" t="s">
        <v>25</v>
      </c>
      <c r="N34" s="3" t="s">
        <v>26</v>
      </c>
    </row>
    <row r="35" spans="5:14" x14ac:dyDescent="0.3">
      <c r="E35" s="6" t="s">
        <v>76</v>
      </c>
      <c r="F35" s="6" t="s">
        <v>24</v>
      </c>
      <c r="G35" s="6">
        <v>88</v>
      </c>
      <c r="H35" s="6">
        <v>2250</v>
      </c>
      <c r="I35" s="6">
        <v>134.93318189999999</v>
      </c>
      <c r="J35" s="7">
        <v>20</v>
      </c>
      <c r="K35" s="4">
        <f>Table1[[#This Row],[Quantity]]/Table1[[#This Row],[Orders]]</f>
        <v>25.568181818181817</v>
      </c>
      <c r="L35" s="4">
        <f>Table1[[#This Row],[Total CBM]]/Table1[[#This Row],[Orders]]</f>
        <v>1.5333316124999998</v>
      </c>
      <c r="M35" s="6" t="s">
        <v>25</v>
      </c>
      <c r="N35" s="3" t="s">
        <v>26</v>
      </c>
    </row>
    <row r="36" spans="5:14" x14ac:dyDescent="0.3">
      <c r="E36" s="6" t="s">
        <v>77</v>
      </c>
      <c r="F36" s="6" t="s">
        <v>24</v>
      </c>
      <c r="G36" s="6">
        <v>701</v>
      </c>
      <c r="H36" s="6">
        <v>2597</v>
      </c>
      <c r="I36" s="6">
        <v>123.86887895498347</v>
      </c>
      <c r="J36" s="7">
        <v>63</v>
      </c>
      <c r="K36" s="4">
        <f>Table1[[#This Row],[Quantity]]/Table1[[#This Row],[Orders]]</f>
        <v>3.7047075606276749</v>
      </c>
      <c r="L36" s="4">
        <f>Table1[[#This Row],[Total CBM]]/Table1[[#This Row],[Orders]]</f>
        <v>0.17670310835233019</v>
      </c>
      <c r="M36" s="6" t="s">
        <v>25</v>
      </c>
      <c r="N36" s="3" t="s">
        <v>26</v>
      </c>
    </row>
    <row r="37" spans="5:14" x14ac:dyDescent="0.3">
      <c r="E37" s="6" t="s">
        <v>78</v>
      </c>
      <c r="F37" s="6" t="s">
        <v>24</v>
      </c>
      <c r="G37" s="6">
        <v>23</v>
      </c>
      <c r="H37" s="6">
        <v>1175</v>
      </c>
      <c r="I37" s="6">
        <v>75.735630999999998</v>
      </c>
      <c r="J37" s="7">
        <v>19</v>
      </c>
      <c r="K37" s="4">
        <f>Table1[[#This Row],[Quantity]]/Table1[[#This Row],[Orders]]</f>
        <v>51.086956521739133</v>
      </c>
      <c r="L37" s="4">
        <f>Table1[[#This Row],[Total CBM]]/Table1[[#This Row],[Orders]]</f>
        <v>3.2928535217391302</v>
      </c>
      <c r="M37" s="6" t="s">
        <v>25</v>
      </c>
      <c r="N37" s="3" t="s">
        <v>26</v>
      </c>
    </row>
    <row r="38" spans="5:14" x14ac:dyDescent="0.3">
      <c r="E38" s="6" t="s">
        <v>79</v>
      </c>
      <c r="F38" s="6" t="s">
        <v>24</v>
      </c>
      <c r="G38" s="6">
        <v>112</v>
      </c>
      <c r="H38" s="6">
        <v>5585</v>
      </c>
      <c r="I38" s="6">
        <v>354.3817841</v>
      </c>
      <c r="J38" s="7">
        <v>25</v>
      </c>
      <c r="K38" s="4">
        <f>Table1[[#This Row],[Quantity]]/Table1[[#This Row],[Orders]]</f>
        <v>49.866071428571431</v>
      </c>
      <c r="L38" s="4">
        <f>Table1[[#This Row],[Total CBM]]/Table1[[#This Row],[Orders]]</f>
        <v>3.1641230723214284</v>
      </c>
      <c r="M38" s="6" t="s">
        <v>25</v>
      </c>
      <c r="N38" s="3" t="s">
        <v>26</v>
      </c>
    </row>
    <row r="39" spans="5:14" x14ac:dyDescent="0.3">
      <c r="E39" s="6" t="s">
        <v>80</v>
      </c>
      <c r="F39" s="6" t="s">
        <v>24</v>
      </c>
      <c r="G39" s="6">
        <v>84</v>
      </c>
      <c r="H39" s="6">
        <v>5075</v>
      </c>
      <c r="I39" s="6">
        <v>303.32982290000007</v>
      </c>
      <c r="J39" s="7">
        <v>34</v>
      </c>
      <c r="K39" s="4">
        <f>Table1[[#This Row],[Quantity]]/Table1[[#This Row],[Orders]]</f>
        <v>60.416666666666664</v>
      </c>
      <c r="L39" s="4">
        <f>Table1[[#This Row],[Total CBM]]/Table1[[#This Row],[Orders]]</f>
        <v>3.6110693202380961</v>
      </c>
      <c r="M39" s="6" t="s">
        <v>25</v>
      </c>
      <c r="N39" s="3" t="s">
        <v>26</v>
      </c>
    </row>
    <row r="40" spans="5:14" x14ac:dyDescent="0.3">
      <c r="E40" s="6" t="s">
        <v>80</v>
      </c>
      <c r="F40" s="6" t="s">
        <v>24</v>
      </c>
      <c r="G40" s="6">
        <v>4</v>
      </c>
      <c r="H40" s="6">
        <v>39</v>
      </c>
      <c r="I40" s="6">
        <v>2.4556499999999999</v>
      </c>
      <c r="J40" s="7">
        <v>4</v>
      </c>
      <c r="K40" s="4">
        <f>Table1[[#This Row],[Quantity]]/Table1[[#This Row],[Orders]]</f>
        <v>9.75</v>
      </c>
      <c r="L40" s="4">
        <f>Table1[[#This Row],[Total CBM]]/Table1[[#This Row],[Orders]]</f>
        <v>0.61391249999999997</v>
      </c>
      <c r="M40" s="6" t="s">
        <v>45</v>
      </c>
      <c r="N40" s="3" t="s">
        <v>26</v>
      </c>
    </row>
    <row r="41" spans="5:14" x14ac:dyDescent="0.3">
      <c r="E41" s="6" t="s">
        <v>81</v>
      </c>
      <c r="F41" s="6" t="s">
        <v>24</v>
      </c>
      <c r="G41" s="6">
        <v>25</v>
      </c>
      <c r="H41" s="6">
        <v>1132</v>
      </c>
      <c r="I41" s="6">
        <v>63.631165999999986</v>
      </c>
      <c r="J41" s="7">
        <v>18</v>
      </c>
      <c r="K41" s="4">
        <f>Table1[[#This Row],[Quantity]]/Table1[[#This Row],[Orders]]</f>
        <v>45.28</v>
      </c>
      <c r="L41" s="4">
        <f>Table1[[#This Row],[Total CBM]]/Table1[[#This Row],[Orders]]</f>
        <v>2.5452466399999993</v>
      </c>
      <c r="M41" s="6" t="s">
        <v>25</v>
      </c>
      <c r="N41" s="3" t="s">
        <v>26</v>
      </c>
    </row>
    <row r="42" spans="5:14" x14ac:dyDescent="0.3">
      <c r="E42" s="6" t="s">
        <v>82</v>
      </c>
      <c r="F42" s="6" t="s">
        <v>24</v>
      </c>
      <c r="G42" s="6">
        <v>39</v>
      </c>
      <c r="H42" s="6">
        <v>2547</v>
      </c>
      <c r="I42" s="6">
        <v>136.19892049999993</v>
      </c>
      <c r="J42" s="7">
        <v>25</v>
      </c>
      <c r="K42" s="4">
        <f>Table1[[#This Row],[Quantity]]/Table1[[#This Row],[Orders]]</f>
        <v>65.307692307692307</v>
      </c>
      <c r="L42" s="4">
        <f>Table1[[#This Row],[Total CBM]]/Table1[[#This Row],[Orders]]</f>
        <v>3.4922800128205109</v>
      </c>
      <c r="M42" s="6" t="s">
        <v>25</v>
      </c>
      <c r="N42" s="3" t="s">
        <v>26</v>
      </c>
    </row>
    <row r="43" spans="5:14" ht="19.8" customHeight="1" x14ac:dyDescent="0.3">
      <c r="E43" s="6" t="s">
        <v>83</v>
      </c>
      <c r="F43" s="6" t="s">
        <v>24</v>
      </c>
      <c r="G43" s="6">
        <v>457</v>
      </c>
      <c r="H43" s="6">
        <v>2908</v>
      </c>
      <c r="I43" s="6">
        <v>141.03654890800004</v>
      </c>
      <c r="J43" s="7">
        <v>50</v>
      </c>
      <c r="K43" s="4">
        <f>Table1[[#This Row],[Quantity]]/Table1[[#This Row],[Orders]]</f>
        <v>6.3632385120350108</v>
      </c>
      <c r="L43" s="4">
        <f>Table1[[#This Row],[Total CBM]]/Table1[[#This Row],[Orders]]</f>
        <v>0.30861389257768063</v>
      </c>
      <c r="M43" s="6" t="s">
        <v>25</v>
      </c>
      <c r="N43" s="3" t="s">
        <v>26</v>
      </c>
    </row>
    <row r="44" spans="5:14" x14ac:dyDescent="0.3">
      <c r="E44" s="6" t="s">
        <v>84</v>
      </c>
      <c r="F44" s="6" t="s">
        <v>24</v>
      </c>
      <c r="G44" s="6">
        <v>304</v>
      </c>
      <c r="H44" s="6">
        <v>1773</v>
      </c>
      <c r="I44" s="6">
        <v>95.862955733333422</v>
      </c>
      <c r="J44" s="7">
        <v>53</v>
      </c>
      <c r="K44" s="4">
        <f>Table1[[#This Row],[Quantity]]/Table1[[#This Row],[Orders]]</f>
        <v>5.8322368421052628</v>
      </c>
      <c r="L44" s="4">
        <f>Table1[[#This Row],[Total CBM]]/Table1[[#This Row],[Orders]]</f>
        <v>0.31533867017543887</v>
      </c>
      <c r="M44" s="6" t="s">
        <v>25</v>
      </c>
      <c r="N44" s="3" t="s">
        <v>26</v>
      </c>
    </row>
    <row r="45" spans="5:14" x14ac:dyDescent="0.3">
      <c r="E45" s="6" t="s">
        <v>85</v>
      </c>
      <c r="F45" s="6" t="s">
        <v>24</v>
      </c>
      <c r="G45" s="6">
        <v>92</v>
      </c>
      <c r="H45" s="6">
        <v>946</v>
      </c>
      <c r="I45" s="6">
        <v>52.891494604166631</v>
      </c>
      <c r="J45" s="7">
        <v>27</v>
      </c>
      <c r="K45" s="4">
        <f>Table1[[#This Row],[Quantity]]/Table1[[#This Row],[Orders]]</f>
        <v>10.282608695652174</v>
      </c>
      <c r="L45" s="4">
        <f>Table1[[#This Row],[Total CBM]]/Table1[[#This Row],[Orders]]</f>
        <v>0.57490755004528948</v>
      </c>
      <c r="M45" s="6" t="s">
        <v>25</v>
      </c>
      <c r="N45" s="3" t="s">
        <v>26</v>
      </c>
    </row>
    <row r="46" spans="5:14" x14ac:dyDescent="0.3">
      <c r="E46" s="6" t="s">
        <v>86</v>
      </c>
      <c r="F46" s="6" t="s">
        <v>24</v>
      </c>
      <c r="G46" s="6">
        <v>33</v>
      </c>
      <c r="H46" s="6">
        <v>529</v>
      </c>
      <c r="I46" s="6">
        <v>25.199522999999999</v>
      </c>
      <c r="J46" s="7">
        <v>25</v>
      </c>
      <c r="K46" s="4">
        <f>Table1[[#This Row],[Quantity]]/Table1[[#This Row],[Orders]]</f>
        <v>16.030303030303031</v>
      </c>
      <c r="L46" s="4">
        <f>Table1[[#This Row],[Total CBM]]/Table1[[#This Row],[Orders]]</f>
        <v>0.7636219090909091</v>
      </c>
      <c r="M46" s="6" t="s">
        <v>25</v>
      </c>
      <c r="N46" s="3" t="s">
        <v>26</v>
      </c>
    </row>
    <row r="47" spans="5:14" x14ac:dyDescent="0.3">
      <c r="E47" s="6" t="s">
        <v>87</v>
      </c>
      <c r="F47" s="6" t="s">
        <v>24</v>
      </c>
      <c r="G47" s="6">
        <v>29</v>
      </c>
      <c r="H47" s="6">
        <v>2251</v>
      </c>
      <c r="I47" s="6">
        <v>125.2819465</v>
      </c>
      <c r="J47" s="7">
        <v>17</v>
      </c>
      <c r="K47" s="4">
        <f>Table1[[#This Row],[Quantity]]/Table1[[#This Row],[Orders]]</f>
        <v>77.620689655172413</v>
      </c>
      <c r="L47" s="4">
        <f>Table1[[#This Row],[Total CBM]]/Table1[[#This Row],[Orders]]</f>
        <v>4.3200671206896555</v>
      </c>
      <c r="M47" s="6" t="s">
        <v>25</v>
      </c>
      <c r="N47" s="3" t="s">
        <v>26</v>
      </c>
    </row>
    <row r="48" spans="5:14" x14ac:dyDescent="0.3">
      <c r="E48" s="6" t="s">
        <v>88</v>
      </c>
      <c r="F48" s="6" t="s">
        <v>24</v>
      </c>
      <c r="G48" s="6">
        <v>44</v>
      </c>
      <c r="H48" s="6">
        <v>1706</v>
      </c>
      <c r="I48" s="6">
        <v>85.182375875000005</v>
      </c>
      <c r="J48" s="7">
        <v>24</v>
      </c>
      <c r="K48" s="4">
        <f>Table1[[#This Row],[Quantity]]/Table1[[#This Row],[Orders]]</f>
        <v>38.772727272727273</v>
      </c>
      <c r="L48" s="4">
        <f>Table1[[#This Row],[Total CBM]]/Table1[[#This Row],[Orders]]</f>
        <v>1.935963088068182</v>
      </c>
      <c r="M48" s="6" t="s">
        <v>25</v>
      </c>
      <c r="N48" s="3" t="s">
        <v>26</v>
      </c>
    </row>
    <row r="49" spans="5:14" x14ac:dyDescent="0.3">
      <c r="E49" s="6" t="s">
        <v>89</v>
      </c>
      <c r="F49" s="6" t="s">
        <v>24</v>
      </c>
      <c r="G49" s="6">
        <v>444</v>
      </c>
      <c r="H49" s="6">
        <v>1842</v>
      </c>
      <c r="I49" s="6">
        <v>89.027902776666693</v>
      </c>
      <c r="J49" s="7">
        <v>47</v>
      </c>
      <c r="K49" s="4">
        <f>Table1[[#This Row],[Quantity]]/Table1[[#This Row],[Orders]]</f>
        <v>4.1486486486486482</v>
      </c>
      <c r="L49" s="4">
        <f>Table1[[#This Row],[Total CBM]]/Table1[[#This Row],[Orders]]</f>
        <v>0.20051329454204211</v>
      </c>
      <c r="M49" s="6" t="s">
        <v>25</v>
      </c>
      <c r="N49" s="3" t="s">
        <v>26</v>
      </c>
    </row>
    <row r="50" spans="5:14" x14ac:dyDescent="0.3">
      <c r="E50" s="6" t="s">
        <v>90</v>
      </c>
      <c r="F50" s="6" t="s">
        <v>24</v>
      </c>
      <c r="G50" s="6">
        <v>25</v>
      </c>
      <c r="H50" s="6">
        <v>1000</v>
      </c>
      <c r="I50" s="6">
        <v>42.271169833333332</v>
      </c>
      <c r="J50" s="7">
        <v>18</v>
      </c>
      <c r="K50" s="4">
        <f>Table1[[#This Row],[Quantity]]/Table1[[#This Row],[Orders]]</f>
        <v>40</v>
      </c>
      <c r="L50" s="4">
        <f>Table1[[#This Row],[Total CBM]]/Table1[[#This Row],[Orders]]</f>
        <v>1.6908467933333333</v>
      </c>
      <c r="M50" s="6" t="s">
        <v>25</v>
      </c>
      <c r="N50" s="3" t="s">
        <v>26</v>
      </c>
    </row>
    <row r="51" spans="5:14" x14ac:dyDescent="0.3">
      <c r="E51" s="6" t="s">
        <v>91</v>
      </c>
      <c r="F51" s="6" t="s">
        <v>24</v>
      </c>
      <c r="G51" s="6">
        <v>56</v>
      </c>
      <c r="H51" s="6">
        <v>2244</v>
      </c>
      <c r="I51" s="6">
        <v>117.83430700000005</v>
      </c>
      <c r="J51" s="7">
        <v>27</v>
      </c>
      <c r="K51" s="4">
        <f>Table1[[#This Row],[Quantity]]/Table1[[#This Row],[Orders]]</f>
        <v>40.071428571428569</v>
      </c>
      <c r="L51" s="4">
        <f>Table1[[#This Row],[Total CBM]]/Table1[[#This Row],[Orders]]</f>
        <v>2.1041840535714296</v>
      </c>
      <c r="M51" s="6" t="s">
        <v>25</v>
      </c>
      <c r="N51" s="3" t="s">
        <v>26</v>
      </c>
    </row>
    <row r="52" spans="5:14" x14ac:dyDescent="0.3">
      <c r="E52" s="6" t="s">
        <v>92</v>
      </c>
      <c r="F52" s="6" t="s">
        <v>24</v>
      </c>
      <c r="G52" s="6">
        <v>22</v>
      </c>
      <c r="H52" s="6">
        <v>1281</v>
      </c>
      <c r="I52" s="6">
        <v>66.509505000000019</v>
      </c>
      <c r="J52" s="7">
        <v>17</v>
      </c>
      <c r="K52" s="4">
        <f>Table1[[#This Row],[Quantity]]/Table1[[#This Row],[Orders]]</f>
        <v>58.227272727272727</v>
      </c>
      <c r="L52" s="4">
        <f>Table1[[#This Row],[Total CBM]]/Table1[[#This Row],[Orders]]</f>
        <v>3.0231593181818188</v>
      </c>
      <c r="M52" s="6" t="s">
        <v>25</v>
      </c>
      <c r="N52" s="3" t="s">
        <v>26</v>
      </c>
    </row>
    <row r="53" spans="5:14" x14ac:dyDescent="0.3">
      <c r="E53" s="6" t="s">
        <v>92</v>
      </c>
      <c r="F53" s="6" t="s">
        <v>24</v>
      </c>
      <c r="G53" s="6">
        <v>220</v>
      </c>
      <c r="H53" s="6">
        <v>370</v>
      </c>
      <c r="I53" s="6">
        <v>6.5670597315535657</v>
      </c>
      <c r="J53" s="7">
        <v>155</v>
      </c>
      <c r="K53" s="4">
        <f>Table1[[#This Row],[Quantity]]/Table1[[#This Row],[Orders]]</f>
        <v>1.6818181818181819</v>
      </c>
      <c r="L53" s="4">
        <f>Table1[[#This Row],[Total CBM]]/Table1[[#This Row],[Orders]]</f>
        <v>2.9850271507061661E-2</v>
      </c>
      <c r="M53" s="6" t="s">
        <v>45</v>
      </c>
      <c r="N53" s="3" t="s">
        <v>26</v>
      </c>
    </row>
    <row r="54" spans="5:14" x14ac:dyDescent="0.3">
      <c r="E54" s="6" t="s">
        <v>93</v>
      </c>
      <c r="F54" s="6" t="s">
        <v>24</v>
      </c>
      <c r="G54" s="6">
        <v>49</v>
      </c>
      <c r="H54" s="6">
        <v>1489</v>
      </c>
      <c r="I54" s="6">
        <v>88.426495000000017</v>
      </c>
      <c r="J54" s="7">
        <v>29</v>
      </c>
      <c r="K54" s="4">
        <f>Table1[[#This Row],[Quantity]]/Table1[[#This Row],[Orders]]</f>
        <v>30.387755102040817</v>
      </c>
      <c r="L54" s="4">
        <f>Table1[[#This Row],[Total CBM]]/Table1[[#This Row],[Orders]]</f>
        <v>1.8046223469387759</v>
      </c>
      <c r="M54" s="6" t="s">
        <v>25</v>
      </c>
      <c r="N54" s="3" t="s">
        <v>26</v>
      </c>
    </row>
    <row r="55" spans="5:14" x14ac:dyDescent="0.3">
      <c r="E55" s="6" t="s">
        <v>94</v>
      </c>
      <c r="F55" s="6" t="s">
        <v>24</v>
      </c>
      <c r="G55" s="6">
        <v>74</v>
      </c>
      <c r="H55" s="6">
        <v>1445</v>
      </c>
      <c r="I55" s="6">
        <v>71.93735550000001</v>
      </c>
      <c r="J55" s="7">
        <v>31</v>
      </c>
      <c r="K55" s="4">
        <f>Table1[[#This Row],[Quantity]]/Table1[[#This Row],[Orders]]</f>
        <v>19.527027027027028</v>
      </c>
      <c r="L55" s="4">
        <f>Table1[[#This Row],[Total CBM]]/Table1[[#This Row],[Orders]]</f>
        <v>0.97212642567567575</v>
      </c>
      <c r="M55" s="6" t="s">
        <v>25</v>
      </c>
      <c r="N55" s="3" t="s">
        <v>26</v>
      </c>
    </row>
    <row r="56" spans="5:14" x14ac:dyDescent="0.3">
      <c r="E56" s="6" t="s">
        <v>94</v>
      </c>
      <c r="F56" s="6" t="s">
        <v>24</v>
      </c>
      <c r="G56" s="6">
        <v>27</v>
      </c>
      <c r="H56" s="6">
        <v>29</v>
      </c>
      <c r="I56" s="6">
        <v>1.2403806944499998</v>
      </c>
      <c r="J56" s="7">
        <v>23</v>
      </c>
      <c r="K56" s="4">
        <f>Table1[[#This Row],[Quantity]]/Table1[[#This Row],[Orders]]</f>
        <v>1.0740740740740742</v>
      </c>
      <c r="L56" s="4">
        <f>Table1[[#This Row],[Total CBM]]/Table1[[#This Row],[Orders]]</f>
        <v>4.5940025720370363E-2</v>
      </c>
      <c r="M56" s="6" t="s">
        <v>45</v>
      </c>
      <c r="N56" s="3" t="s">
        <v>26</v>
      </c>
    </row>
    <row r="57" spans="5:14" x14ac:dyDescent="0.3">
      <c r="E57" s="6" t="s">
        <v>95</v>
      </c>
      <c r="F57" s="6" t="s">
        <v>24</v>
      </c>
      <c r="G57" s="6">
        <v>521</v>
      </c>
      <c r="H57" s="6">
        <v>6507</v>
      </c>
      <c r="I57" s="6">
        <v>306.44594586640011</v>
      </c>
      <c r="J57" s="7">
        <v>65</v>
      </c>
      <c r="K57" s="4">
        <f>Table1[[#This Row],[Quantity]]/Table1[[#This Row],[Orders]]</f>
        <v>12.489443378119002</v>
      </c>
      <c r="L57" s="4">
        <f>Table1[[#This Row],[Total CBM]]/Table1[[#This Row],[Orders]]</f>
        <v>0.58818799590479864</v>
      </c>
      <c r="M57" s="6" t="s">
        <v>25</v>
      </c>
      <c r="N57" s="3" t="s">
        <v>26</v>
      </c>
    </row>
    <row r="58" spans="5:14" x14ac:dyDescent="0.3">
      <c r="E58" s="6" t="s">
        <v>96</v>
      </c>
      <c r="F58" s="6" t="s">
        <v>24</v>
      </c>
      <c r="G58" s="6">
        <v>11</v>
      </c>
      <c r="H58" s="6">
        <v>99</v>
      </c>
      <c r="I58" s="6">
        <v>6.8392520833333332</v>
      </c>
      <c r="J58" s="7">
        <v>8</v>
      </c>
      <c r="K58" s="4">
        <f>Table1[[#This Row],[Quantity]]/Table1[[#This Row],[Orders]]</f>
        <v>9</v>
      </c>
      <c r="L58" s="4">
        <f>Table1[[#This Row],[Total CBM]]/Table1[[#This Row],[Orders]]</f>
        <v>0.62175018939393933</v>
      </c>
      <c r="M58" s="6" t="s">
        <v>25</v>
      </c>
      <c r="N58" s="3" t="s">
        <v>26</v>
      </c>
    </row>
    <row r="59" spans="5:14" x14ac:dyDescent="0.3">
      <c r="E59" s="6" t="s">
        <v>97</v>
      </c>
      <c r="F59" s="6" t="s">
        <v>24</v>
      </c>
      <c r="G59" s="6">
        <v>17</v>
      </c>
      <c r="H59" s="6">
        <v>281</v>
      </c>
      <c r="I59" s="6">
        <v>14.327607500000001</v>
      </c>
      <c r="J59" s="7">
        <v>16</v>
      </c>
      <c r="K59" s="4">
        <f>Table1[[#This Row],[Quantity]]/Table1[[#This Row],[Orders]]</f>
        <v>16.529411764705884</v>
      </c>
      <c r="L59" s="4">
        <f>Table1[[#This Row],[Total CBM]]/Table1[[#This Row],[Orders]]</f>
        <v>0.84280044117647068</v>
      </c>
      <c r="M59" s="6" t="s">
        <v>25</v>
      </c>
      <c r="N59" s="3" t="s">
        <v>26</v>
      </c>
    </row>
    <row r="60" spans="5:14" x14ac:dyDescent="0.3">
      <c r="E60" s="6" t="s">
        <v>98</v>
      </c>
      <c r="F60" s="6" t="s">
        <v>24</v>
      </c>
      <c r="G60" s="6">
        <v>2</v>
      </c>
      <c r="H60" s="6">
        <v>1221</v>
      </c>
      <c r="I60" s="6">
        <v>54.306750000000008</v>
      </c>
      <c r="J60" s="7">
        <v>2</v>
      </c>
      <c r="K60" s="4">
        <f>Table1[[#This Row],[Quantity]]/Table1[[#This Row],[Orders]]</f>
        <v>610.5</v>
      </c>
      <c r="L60" s="4">
        <f>Table1[[#This Row],[Total CBM]]/Table1[[#This Row],[Orders]]</f>
        <v>27.153375000000004</v>
      </c>
      <c r="M60" s="6" t="s">
        <v>25</v>
      </c>
      <c r="N60" s="3" t="s">
        <v>26</v>
      </c>
    </row>
    <row r="61" spans="5:14" x14ac:dyDescent="0.3">
      <c r="E61" s="6" t="s">
        <v>99</v>
      </c>
      <c r="F61" s="6" t="s">
        <v>24</v>
      </c>
      <c r="G61" s="6">
        <v>66</v>
      </c>
      <c r="H61" s="6">
        <v>3012</v>
      </c>
      <c r="I61" s="6">
        <v>184.50626579999997</v>
      </c>
      <c r="J61" s="7">
        <v>25</v>
      </c>
      <c r="K61" s="4">
        <f>Table1[[#This Row],[Quantity]]/Table1[[#This Row],[Orders]]</f>
        <v>45.636363636363633</v>
      </c>
      <c r="L61" s="4">
        <f>Table1[[#This Row],[Total CBM]]/Table1[[#This Row],[Orders]]</f>
        <v>2.7955494818181812</v>
      </c>
      <c r="M61" s="6" t="s">
        <v>25</v>
      </c>
      <c r="N61" s="3" t="s">
        <v>26</v>
      </c>
    </row>
    <row r="62" spans="5:14" x14ac:dyDescent="0.3">
      <c r="E62" s="6" t="s">
        <v>100</v>
      </c>
      <c r="F62" s="6" t="s">
        <v>24</v>
      </c>
      <c r="G62" s="6">
        <v>32</v>
      </c>
      <c r="H62" s="6">
        <v>3801</v>
      </c>
      <c r="I62" s="6">
        <v>247.95431170000001</v>
      </c>
      <c r="J62" s="7">
        <v>15</v>
      </c>
      <c r="K62" s="4">
        <f>Table1[[#This Row],[Quantity]]/Table1[[#This Row],[Orders]]</f>
        <v>118.78125</v>
      </c>
      <c r="L62" s="4">
        <f>Table1[[#This Row],[Total CBM]]/Table1[[#This Row],[Orders]]</f>
        <v>7.7485722406250002</v>
      </c>
      <c r="M62" s="6" t="s">
        <v>25</v>
      </c>
      <c r="N62" s="3" t="s">
        <v>26</v>
      </c>
    </row>
    <row r="63" spans="5:14" x14ac:dyDescent="0.3">
      <c r="E63" s="6" t="s">
        <v>101</v>
      </c>
      <c r="F63" s="6" t="s">
        <v>24</v>
      </c>
      <c r="G63" s="6">
        <v>522</v>
      </c>
      <c r="H63" s="6">
        <v>2415</v>
      </c>
      <c r="I63" s="6">
        <v>123.67112498053328</v>
      </c>
      <c r="J63" s="7">
        <v>46</v>
      </c>
      <c r="K63" s="4">
        <f>Table1[[#This Row],[Quantity]]/Table1[[#This Row],[Orders]]</f>
        <v>4.6264367816091951</v>
      </c>
      <c r="L63" s="4">
        <f>Table1[[#This Row],[Total CBM]]/Table1[[#This Row],[Orders]]</f>
        <v>0.23691786394738176</v>
      </c>
      <c r="M63" s="6" t="s">
        <v>25</v>
      </c>
      <c r="N63" s="3" t="s">
        <v>26</v>
      </c>
    </row>
    <row r="64" spans="5:14" x14ac:dyDescent="0.3">
      <c r="E64" s="6" t="s">
        <v>102</v>
      </c>
      <c r="F64" s="6" t="s">
        <v>24</v>
      </c>
      <c r="G64" s="6">
        <v>50</v>
      </c>
      <c r="H64" s="6">
        <v>951</v>
      </c>
      <c r="I64" s="6">
        <v>60.542246000000006</v>
      </c>
      <c r="J64" s="7">
        <v>27</v>
      </c>
      <c r="K64" s="4">
        <f>Table1[[#This Row],[Quantity]]/Table1[[#This Row],[Orders]]</f>
        <v>19.02</v>
      </c>
      <c r="L64" s="4">
        <f>Table1[[#This Row],[Total CBM]]/Table1[[#This Row],[Orders]]</f>
        <v>1.2108449200000002</v>
      </c>
      <c r="M64" s="6" t="s">
        <v>25</v>
      </c>
      <c r="N64" s="3" t="s">
        <v>26</v>
      </c>
    </row>
    <row r="65" spans="5:14" x14ac:dyDescent="0.3">
      <c r="E65" s="6" t="s">
        <v>103</v>
      </c>
      <c r="F65" s="6" t="s">
        <v>24</v>
      </c>
      <c r="G65" s="6">
        <v>22</v>
      </c>
      <c r="H65" s="6">
        <v>1199</v>
      </c>
      <c r="I65" s="6">
        <v>71.317667499999985</v>
      </c>
      <c r="J65" s="7">
        <v>10</v>
      </c>
      <c r="K65" s="4">
        <f>Table1[[#This Row],[Quantity]]/Table1[[#This Row],[Orders]]</f>
        <v>54.5</v>
      </c>
      <c r="L65" s="4">
        <f>Table1[[#This Row],[Total CBM]]/Table1[[#This Row],[Orders]]</f>
        <v>3.2417121590909086</v>
      </c>
      <c r="M65" s="6" t="s">
        <v>25</v>
      </c>
      <c r="N65" s="3" t="s">
        <v>26</v>
      </c>
    </row>
    <row r="66" spans="5:14" x14ac:dyDescent="0.3">
      <c r="E66" s="6" t="s">
        <v>104</v>
      </c>
      <c r="F66" s="6" t="s">
        <v>24</v>
      </c>
      <c r="G66" s="6">
        <v>20</v>
      </c>
      <c r="H66" s="6">
        <v>774</v>
      </c>
      <c r="I66" s="6">
        <v>39.907435</v>
      </c>
      <c r="J66" s="7">
        <v>18</v>
      </c>
      <c r="K66" s="4">
        <f>Table1[[#This Row],[Quantity]]/Table1[[#This Row],[Orders]]</f>
        <v>38.700000000000003</v>
      </c>
      <c r="L66" s="4">
        <f>Table1[[#This Row],[Total CBM]]/Table1[[#This Row],[Orders]]</f>
        <v>1.9953717499999999</v>
      </c>
      <c r="M66" s="6" t="s">
        <v>25</v>
      </c>
      <c r="N66" s="3" t="s">
        <v>26</v>
      </c>
    </row>
    <row r="67" spans="5:14" x14ac:dyDescent="0.3">
      <c r="E67" s="6" t="s">
        <v>105</v>
      </c>
      <c r="F67" s="6" t="s">
        <v>24</v>
      </c>
      <c r="G67" s="6">
        <v>28</v>
      </c>
      <c r="H67" s="6">
        <v>671</v>
      </c>
      <c r="I67" s="6">
        <v>44.320827000000008</v>
      </c>
      <c r="J67" s="7">
        <v>20</v>
      </c>
      <c r="K67" s="4">
        <f>Table1[[#This Row],[Quantity]]/Table1[[#This Row],[Orders]]</f>
        <v>23.964285714285715</v>
      </c>
      <c r="L67" s="4">
        <f>Table1[[#This Row],[Total CBM]]/Table1[[#This Row],[Orders]]</f>
        <v>1.5828866785714288</v>
      </c>
      <c r="M67" s="6" t="s">
        <v>25</v>
      </c>
      <c r="N67" s="3" t="s">
        <v>26</v>
      </c>
    </row>
    <row r="68" spans="5:14" x14ac:dyDescent="0.3">
      <c r="E68" s="6" t="s">
        <v>106</v>
      </c>
      <c r="F68" s="6" t="s">
        <v>24</v>
      </c>
      <c r="G68" s="6">
        <v>29</v>
      </c>
      <c r="H68" s="6">
        <v>667</v>
      </c>
      <c r="I68" s="6">
        <v>33.837563000000003</v>
      </c>
      <c r="J68" s="7">
        <v>17</v>
      </c>
      <c r="K68" s="4">
        <f>Table1[[#This Row],[Quantity]]/Table1[[#This Row],[Orders]]</f>
        <v>23</v>
      </c>
      <c r="L68" s="4">
        <f>Table1[[#This Row],[Total CBM]]/Table1[[#This Row],[Orders]]</f>
        <v>1.1668125172413795</v>
      </c>
      <c r="M68" s="6" t="s">
        <v>25</v>
      </c>
      <c r="N68" s="3" t="s">
        <v>26</v>
      </c>
    </row>
    <row r="69" spans="5:14" x14ac:dyDescent="0.3">
      <c r="E69" s="6" t="s">
        <v>107</v>
      </c>
      <c r="F69" s="6" t="s">
        <v>24</v>
      </c>
      <c r="G69" s="6">
        <v>692</v>
      </c>
      <c r="H69" s="6">
        <v>2895</v>
      </c>
      <c r="I69" s="6">
        <v>158.06759753326642</v>
      </c>
      <c r="J69" s="7">
        <v>55</v>
      </c>
      <c r="K69" s="4">
        <f>Table1[[#This Row],[Quantity]]/Table1[[#This Row],[Orders]]</f>
        <v>4.1835260115606934</v>
      </c>
      <c r="L69" s="4">
        <f>Table1[[#This Row],[Total CBM]]/Table1[[#This Row],[Orders]]</f>
        <v>0.22842138371859311</v>
      </c>
      <c r="M69" s="6" t="s">
        <v>25</v>
      </c>
      <c r="N69" s="3" t="s">
        <v>26</v>
      </c>
    </row>
    <row r="70" spans="5:14" x14ac:dyDescent="0.3">
      <c r="E70" s="6" t="s">
        <v>108</v>
      </c>
      <c r="F70" s="6" t="s">
        <v>24</v>
      </c>
      <c r="G70" s="6">
        <v>63</v>
      </c>
      <c r="H70" s="6">
        <v>1839</v>
      </c>
      <c r="I70" s="6">
        <v>123.83729700000001</v>
      </c>
      <c r="J70" s="7">
        <v>26</v>
      </c>
      <c r="K70" s="4">
        <f>Table1[[#This Row],[Quantity]]/Table1[[#This Row],[Orders]]</f>
        <v>29.19047619047619</v>
      </c>
      <c r="L70" s="4">
        <f>Table1[[#This Row],[Total CBM]]/Table1[[#This Row],[Orders]]</f>
        <v>1.9656713809523811</v>
      </c>
      <c r="M70" s="6" t="s">
        <v>25</v>
      </c>
      <c r="N70" s="3" t="s">
        <v>26</v>
      </c>
    </row>
    <row r="71" spans="5:14" x14ac:dyDescent="0.3">
      <c r="E71" s="6" t="s">
        <v>109</v>
      </c>
      <c r="F71" s="6" t="s">
        <v>24</v>
      </c>
      <c r="G71" s="6">
        <v>26</v>
      </c>
      <c r="H71" s="6">
        <v>859</v>
      </c>
      <c r="I71" s="6">
        <v>57.256169500000006</v>
      </c>
      <c r="J71" s="7">
        <v>17</v>
      </c>
      <c r="K71" s="4">
        <f>Table1[[#This Row],[Quantity]]/Table1[[#This Row],[Orders]]</f>
        <v>33.03846153846154</v>
      </c>
      <c r="L71" s="4">
        <f>Table1[[#This Row],[Total CBM]]/Table1[[#This Row],[Orders]]</f>
        <v>2.2021603653846156</v>
      </c>
      <c r="M71" s="6" t="s">
        <v>25</v>
      </c>
      <c r="N71" s="3" t="s">
        <v>26</v>
      </c>
    </row>
    <row r="72" spans="5:14" x14ac:dyDescent="0.3">
      <c r="E72" s="6" t="s">
        <v>110</v>
      </c>
      <c r="F72" s="6" t="s">
        <v>24</v>
      </c>
      <c r="G72" s="6">
        <v>33</v>
      </c>
      <c r="H72" s="6">
        <v>1380</v>
      </c>
      <c r="I72" s="6">
        <v>72.016428000000019</v>
      </c>
      <c r="J72" s="7">
        <v>21</v>
      </c>
      <c r="K72" s="4">
        <f>Table1[[#This Row],[Quantity]]/Table1[[#This Row],[Orders]]</f>
        <v>41.81818181818182</v>
      </c>
      <c r="L72" s="4">
        <f>Table1[[#This Row],[Total CBM]]/Table1[[#This Row],[Orders]]</f>
        <v>2.1823160000000006</v>
      </c>
      <c r="M72" s="6" t="s">
        <v>25</v>
      </c>
      <c r="N72" s="3" t="s">
        <v>26</v>
      </c>
    </row>
    <row r="73" spans="5:14" x14ac:dyDescent="0.3">
      <c r="E73" s="6" t="s">
        <v>111</v>
      </c>
      <c r="F73" s="6" t="s">
        <v>24</v>
      </c>
      <c r="G73" s="6">
        <v>80</v>
      </c>
      <c r="H73" s="6">
        <v>3150</v>
      </c>
      <c r="I73" s="6">
        <v>169.64187999999996</v>
      </c>
      <c r="J73" s="7">
        <v>32</v>
      </c>
      <c r="K73" s="4">
        <f>Table1[[#This Row],[Quantity]]/Table1[[#This Row],[Orders]]</f>
        <v>39.375</v>
      </c>
      <c r="L73" s="4">
        <f>Table1[[#This Row],[Total CBM]]/Table1[[#This Row],[Orders]]</f>
        <v>2.1205234999999996</v>
      </c>
      <c r="M73" s="6" t="s">
        <v>25</v>
      </c>
      <c r="N73" s="3" t="s">
        <v>26</v>
      </c>
    </row>
    <row r="74" spans="5:14" x14ac:dyDescent="0.3">
      <c r="E74" s="6" t="s">
        <v>112</v>
      </c>
      <c r="F74" s="6" t="s">
        <v>24</v>
      </c>
      <c r="G74" s="6">
        <v>29</v>
      </c>
      <c r="H74" s="6">
        <v>761</v>
      </c>
      <c r="I74" s="6">
        <v>38.071200500000003</v>
      </c>
      <c r="J74" s="7">
        <v>20</v>
      </c>
      <c r="K74" s="4">
        <f>Table1[[#This Row],[Quantity]]/Table1[[#This Row],[Orders]]</f>
        <v>26.241379310344829</v>
      </c>
      <c r="L74" s="4">
        <f>Table1[[#This Row],[Total CBM]]/Table1[[#This Row],[Orders]]</f>
        <v>1.3128000172413794</v>
      </c>
      <c r="M74" s="6" t="s">
        <v>25</v>
      </c>
      <c r="N74" s="3" t="s">
        <v>26</v>
      </c>
    </row>
    <row r="75" spans="5:14" x14ac:dyDescent="0.3">
      <c r="E75" s="6" t="s">
        <v>113</v>
      </c>
      <c r="F75" s="6" t="s">
        <v>24</v>
      </c>
      <c r="G75" s="6">
        <v>553</v>
      </c>
      <c r="H75" s="6">
        <v>3560</v>
      </c>
      <c r="I75" s="6">
        <v>166.19531786466655</v>
      </c>
      <c r="J75" s="7">
        <v>63</v>
      </c>
      <c r="K75" s="4">
        <f>Table1[[#This Row],[Quantity]]/Table1[[#This Row],[Orders]]</f>
        <v>6.4376130198915007</v>
      </c>
      <c r="L75" s="4">
        <f>Table1[[#This Row],[Total CBM]]/Table1[[#This Row],[Orders]]</f>
        <v>0.30053402868836626</v>
      </c>
      <c r="M75" s="6" t="s">
        <v>25</v>
      </c>
      <c r="N75" s="3" t="s">
        <v>26</v>
      </c>
    </row>
    <row r="76" spans="5:14" x14ac:dyDescent="0.3">
      <c r="E76" s="6" t="s">
        <v>114</v>
      </c>
      <c r="F76" s="6" t="s">
        <v>24</v>
      </c>
      <c r="G76" s="6">
        <v>45</v>
      </c>
      <c r="H76" s="6">
        <v>3744</v>
      </c>
      <c r="I76" s="6">
        <v>229.84076799999997</v>
      </c>
      <c r="J76" s="7">
        <v>23</v>
      </c>
      <c r="K76" s="4">
        <f>Table1[[#This Row],[Quantity]]/Table1[[#This Row],[Orders]]</f>
        <v>83.2</v>
      </c>
      <c r="L76" s="4">
        <f>Table1[[#This Row],[Total CBM]]/Table1[[#This Row],[Orders]]</f>
        <v>5.1075726222222215</v>
      </c>
      <c r="M76" s="6" t="s">
        <v>25</v>
      </c>
      <c r="N76" s="3" t="s">
        <v>26</v>
      </c>
    </row>
    <row r="77" spans="5:14" x14ac:dyDescent="0.3">
      <c r="E77" s="6" t="s">
        <v>115</v>
      </c>
      <c r="F77" s="6" t="s">
        <v>24</v>
      </c>
      <c r="G77" s="6">
        <v>60</v>
      </c>
      <c r="H77" s="6">
        <v>2363</v>
      </c>
      <c r="I77" s="6">
        <v>138.38816149999997</v>
      </c>
      <c r="J77" s="7">
        <v>24</v>
      </c>
      <c r="K77" s="4">
        <f>Table1[[#This Row],[Quantity]]/Table1[[#This Row],[Orders]]</f>
        <v>39.383333333333333</v>
      </c>
      <c r="L77" s="4">
        <f>Table1[[#This Row],[Total CBM]]/Table1[[#This Row],[Orders]]</f>
        <v>2.3064693583333327</v>
      </c>
      <c r="M77" s="6" t="s">
        <v>25</v>
      </c>
      <c r="N77" s="3" t="s">
        <v>26</v>
      </c>
    </row>
    <row r="78" spans="5:14" x14ac:dyDescent="0.3">
      <c r="E78" s="6" t="s">
        <v>116</v>
      </c>
      <c r="F78" s="6" t="s">
        <v>24</v>
      </c>
      <c r="G78" s="6">
        <v>9</v>
      </c>
      <c r="H78" s="6">
        <v>619</v>
      </c>
      <c r="I78" s="6">
        <v>39.077449999999999</v>
      </c>
      <c r="J78" s="7">
        <v>7</v>
      </c>
      <c r="K78" s="4">
        <f>Table1[[#This Row],[Quantity]]/Table1[[#This Row],[Orders]]</f>
        <v>68.777777777777771</v>
      </c>
      <c r="L78" s="4">
        <f>Table1[[#This Row],[Total CBM]]/Table1[[#This Row],[Orders]]</f>
        <v>4.3419388888888886</v>
      </c>
      <c r="M78" s="6" t="s">
        <v>25</v>
      </c>
      <c r="N78" s="3" t="s">
        <v>26</v>
      </c>
    </row>
    <row r="79" spans="5:14" x14ac:dyDescent="0.3">
      <c r="E79" s="6" t="s">
        <v>117</v>
      </c>
      <c r="F79" s="6" t="s">
        <v>24</v>
      </c>
      <c r="G79" s="6">
        <v>32</v>
      </c>
      <c r="H79" s="6">
        <v>1629</v>
      </c>
      <c r="I79" s="6">
        <v>82.345724749999988</v>
      </c>
      <c r="J79" s="7">
        <v>20</v>
      </c>
      <c r="K79" s="4">
        <f>Table1[[#This Row],[Quantity]]/Table1[[#This Row],[Orders]]</f>
        <v>50.90625</v>
      </c>
      <c r="L79" s="4">
        <f>Table1[[#This Row],[Total CBM]]/Table1[[#This Row],[Orders]]</f>
        <v>2.5733038984374996</v>
      </c>
      <c r="M79" s="6" t="s">
        <v>25</v>
      </c>
      <c r="N79" s="3" t="s">
        <v>26</v>
      </c>
    </row>
    <row r="80" spans="5:14" x14ac:dyDescent="0.3">
      <c r="E80" s="6" t="s">
        <v>118</v>
      </c>
      <c r="F80" s="6" t="s">
        <v>24</v>
      </c>
      <c r="G80" s="6">
        <v>52</v>
      </c>
      <c r="H80" s="6">
        <v>3335</v>
      </c>
      <c r="I80" s="6">
        <v>205.33442199999996</v>
      </c>
      <c r="J80" s="7">
        <v>25</v>
      </c>
      <c r="K80" s="4">
        <f>Table1[[#This Row],[Quantity]]/Table1[[#This Row],[Orders]]</f>
        <v>64.134615384615387</v>
      </c>
      <c r="L80" s="4">
        <f>Table1[[#This Row],[Total CBM]]/Table1[[#This Row],[Orders]]</f>
        <v>3.9487388846153837</v>
      </c>
      <c r="M80" s="6" t="s">
        <v>25</v>
      </c>
      <c r="N80" s="3" t="s">
        <v>26</v>
      </c>
    </row>
    <row r="81" spans="5:14" x14ac:dyDescent="0.3">
      <c r="E81" s="6" t="s">
        <v>119</v>
      </c>
      <c r="F81" s="6" t="s">
        <v>24</v>
      </c>
      <c r="G81" s="6">
        <v>633</v>
      </c>
      <c r="H81" s="6">
        <v>6561</v>
      </c>
      <c r="I81" s="6">
        <v>334.30373861666635</v>
      </c>
      <c r="J81" s="7">
        <v>57</v>
      </c>
      <c r="K81" s="4">
        <f>Table1[[#This Row],[Quantity]]/Table1[[#This Row],[Orders]]</f>
        <v>10.364928909952607</v>
      </c>
      <c r="L81" s="4">
        <f>Table1[[#This Row],[Total CBM]]/Table1[[#This Row],[Orders]]</f>
        <v>0.52812596937861978</v>
      </c>
      <c r="M81" s="6" t="s">
        <v>25</v>
      </c>
      <c r="N81" s="3" t="s">
        <v>26</v>
      </c>
    </row>
    <row r="82" spans="5:14" x14ac:dyDescent="0.3">
      <c r="E82" s="6" t="s">
        <v>119</v>
      </c>
      <c r="F82" s="6" t="s">
        <v>24</v>
      </c>
      <c r="G82" s="6">
        <v>14</v>
      </c>
      <c r="H82" s="6">
        <v>20</v>
      </c>
      <c r="I82" s="6">
        <v>0.6938007722666667</v>
      </c>
      <c r="J82" s="7">
        <v>10</v>
      </c>
      <c r="K82" s="4">
        <f>Table1[[#This Row],[Quantity]]/Table1[[#This Row],[Orders]]</f>
        <v>1.4285714285714286</v>
      </c>
      <c r="L82" s="4">
        <f>Table1[[#This Row],[Total CBM]]/Table1[[#This Row],[Orders]]</f>
        <v>4.9557198019047621E-2</v>
      </c>
      <c r="M82" s="6" t="s">
        <v>45</v>
      </c>
      <c r="N82" s="3" t="s">
        <v>26</v>
      </c>
    </row>
    <row r="83" spans="5:14" x14ac:dyDescent="0.3">
      <c r="E83" s="6" t="s">
        <v>120</v>
      </c>
      <c r="F83" s="6" t="s">
        <v>24</v>
      </c>
      <c r="G83" s="6">
        <v>169</v>
      </c>
      <c r="H83" s="6">
        <v>6861</v>
      </c>
      <c r="I83" s="6">
        <v>372.36726821333332</v>
      </c>
      <c r="J83" s="7">
        <v>46</v>
      </c>
      <c r="K83" s="4">
        <f>Table1[[#This Row],[Quantity]]/Table1[[#This Row],[Orders]]</f>
        <v>40.597633136094672</v>
      </c>
      <c r="L83" s="4">
        <f>Table1[[#This Row],[Total CBM]]/Table1[[#This Row],[Orders]]</f>
        <v>2.2033566166469427</v>
      </c>
      <c r="M83" s="6" t="s">
        <v>25</v>
      </c>
      <c r="N83" s="3" t="s">
        <v>26</v>
      </c>
    </row>
    <row r="84" spans="5:14" x14ac:dyDescent="0.3">
      <c r="E84" s="6" t="s">
        <v>120</v>
      </c>
      <c r="F84" s="6" t="s">
        <v>24</v>
      </c>
      <c r="G84" s="6">
        <v>371</v>
      </c>
      <c r="H84" s="6">
        <v>1515</v>
      </c>
      <c r="I84" s="6">
        <v>83.480236942583332</v>
      </c>
      <c r="J84" s="7">
        <v>172</v>
      </c>
      <c r="K84" s="4">
        <f>Table1[[#This Row],[Quantity]]/Table1[[#This Row],[Orders]]</f>
        <v>4.0835579514824794</v>
      </c>
      <c r="L84" s="4">
        <f>Table1[[#This Row],[Total CBM]]/Table1[[#This Row],[Orders]]</f>
        <v>0.22501411574820304</v>
      </c>
      <c r="M84" s="6" t="s">
        <v>45</v>
      </c>
      <c r="N84" s="3" t="s">
        <v>26</v>
      </c>
    </row>
    <row r="85" spans="5:14" x14ac:dyDescent="0.3">
      <c r="E85" s="6" t="s">
        <v>121</v>
      </c>
      <c r="F85" s="6" t="s">
        <v>24</v>
      </c>
      <c r="G85" s="6">
        <v>3</v>
      </c>
      <c r="H85" s="6">
        <v>461</v>
      </c>
      <c r="I85" s="6">
        <v>24.779232499999999</v>
      </c>
      <c r="J85" s="7">
        <v>2</v>
      </c>
      <c r="K85" s="4">
        <f>Table1[[#This Row],[Quantity]]/Table1[[#This Row],[Orders]]</f>
        <v>153.66666666666666</v>
      </c>
      <c r="L85" s="4">
        <f>Table1[[#This Row],[Total CBM]]/Table1[[#This Row],[Orders]]</f>
        <v>8.2597441666666658</v>
      </c>
      <c r="M85" s="6" t="s">
        <v>25</v>
      </c>
      <c r="N85" s="3" t="s">
        <v>26</v>
      </c>
    </row>
    <row r="86" spans="5:14" x14ac:dyDescent="0.3">
      <c r="E86" s="6" t="s">
        <v>122</v>
      </c>
      <c r="F86" s="6" t="s">
        <v>24</v>
      </c>
      <c r="G86" s="6">
        <v>9</v>
      </c>
      <c r="H86" s="6">
        <v>2116</v>
      </c>
      <c r="I86" s="6">
        <v>144.3592955</v>
      </c>
      <c r="J86" s="7">
        <v>4</v>
      </c>
      <c r="K86" s="4">
        <f>Table1[[#This Row],[Quantity]]/Table1[[#This Row],[Orders]]</f>
        <v>235.11111111111111</v>
      </c>
      <c r="L86" s="4">
        <f>Table1[[#This Row],[Total CBM]]/Table1[[#This Row],[Orders]]</f>
        <v>16.039921722222221</v>
      </c>
      <c r="M86" s="6" t="s">
        <v>25</v>
      </c>
      <c r="N86" s="3" t="s">
        <v>26</v>
      </c>
    </row>
    <row r="87" spans="5:14" x14ac:dyDescent="0.3">
      <c r="E87" s="6" t="s">
        <v>123</v>
      </c>
      <c r="F87" s="6" t="s">
        <v>24</v>
      </c>
      <c r="G87" s="6">
        <v>7</v>
      </c>
      <c r="H87" s="6">
        <v>404</v>
      </c>
      <c r="I87" s="6">
        <v>27.857405700000001</v>
      </c>
      <c r="J87" s="7">
        <v>7</v>
      </c>
      <c r="K87" s="4">
        <f>Table1[[#This Row],[Quantity]]/Table1[[#This Row],[Orders]]</f>
        <v>57.714285714285715</v>
      </c>
      <c r="L87" s="4">
        <f>Table1[[#This Row],[Total CBM]]/Table1[[#This Row],[Orders]]</f>
        <v>3.9796293857142859</v>
      </c>
      <c r="M87" s="6" t="s">
        <v>25</v>
      </c>
      <c r="N87" s="3" t="s">
        <v>26</v>
      </c>
    </row>
    <row r="88" spans="5:14" x14ac:dyDescent="0.3">
      <c r="E88" s="6" t="s">
        <v>124</v>
      </c>
      <c r="F88" s="6" t="s">
        <v>24</v>
      </c>
      <c r="G88" s="6">
        <v>13</v>
      </c>
      <c r="H88" s="6">
        <v>209</v>
      </c>
      <c r="I88" s="6">
        <v>14.083665</v>
      </c>
      <c r="J88" s="7">
        <v>9</v>
      </c>
      <c r="K88" s="4">
        <f>Table1[[#This Row],[Quantity]]/Table1[[#This Row],[Orders]]</f>
        <v>16.076923076923077</v>
      </c>
      <c r="L88" s="4">
        <f>Table1[[#This Row],[Total CBM]]/Table1[[#This Row],[Orders]]</f>
        <v>1.0833588461538461</v>
      </c>
      <c r="M88" s="6" t="s">
        <v>25</v>
      </c>
      <c r="N88" s="3" t="s">
        <v>26</v>
      </c>
    </row>
    <row r="89" spans="5:14" x14ac:dyDescent="0.3">
      <c r="E89" s="6" t="s">
        <v>125</v>
      </c>
      <c r="F89" s="6" t="s">
        <v>24</v>
      </c>
      <c r="G89" s="6">
        <v>2</v>
      </c>
      <c r="H89" s="6">
        <v>639</v>
      </c>
      <c r="I89" s="6">
        <v>43.132500000000014</v>
      </c>
      <c r="J89" s="7">
        <v>1</v>
      </c>
      <c r="K89" s="4">
        <f>Table1[[#This Row],[Quantity]]/Table1[[#This Row],[Orders]]</f>
        <v>319.5</v>
      </c>
      <c r="L89" s="4">
        <f>Table1[[#This Row],[Total CBM]]/Table1[[#This Row],[Orders]]</f>
        <v>21.566250000000007</v>
      </c>
      <c r="M89" s="6" t="s">
        <v>25</v>
      </c>
      <c r="N89" s="3" t="s">
        <v>26</v>
      </c>
    </row>
    <row r="90" spans="5:14" x14ac:dyDescent="0.3">
      <c r="E90" s="6" t="s">
        <v>126</v>
      </c>
      <c r="F90" s="6" t="s">
        <v>24</v>
      </c>
      <c r="G90" s="6">
        <v>56</v>
      </c>
      <c r="H90" s="6">
        <v>2442</v>
      </c>
      <c r="I90" s="6">
        <v>177.12840800000004</v>
      </c>
      <c r="J90" s="7">
        <v>9</v>
      </c>
      <c r="K90" s="4">
        <f>Table1[[#This Row],[Quantity]]/Table1[[#This Row],[Orders]]</f>
        <v>43.607142857142854</v>
      </c>
      <c r="L90" s="4">
        <f>Table1[[#This Row],[Total CBM]]/Table1[[#This Row],[Orders]]</f>
        <v>3.1630072857142864</v>
      </c>
      <c r="M90" s="6" t="s">
        <v>25</v>
      </c>
      <c r="N90" s="3" t="s">
        <v>26</v>
      </c>
    </row>
    <row r="91" spans="5:14" x14ac:dyDescent="0.3">
      <c r="E91" s="6" t="s">
        <v>127</v>
      </c>
      <c r="F91" s="6" t="s">
        <v>24</v>
      </c>
      <c r="G91" s="6">
        <v>4</v>
      </c>
      <c r="H91" s="6">
        <v>600</v>
      </c>
      <c r="I91" s="6">
        <v>34.758299999999998</v>
      </c>
      <c r="J91" s="7">
        <v>4</v>
      </c>
      <c r="K91" s="4">
        <f>Table1[[#This Row],[Quantity]]/Table1[[#This Row],[Orders]]</f>
        <v>150</v>
      </c>
      <c r="L91" s="4">
        <f>Table1[[#This Row],[Total CBM]]/Table1[[#This Row],[Orders]]</f>
        <v>8.6895749999999996</v>
      </c>
      <c r="M91" s="6" t="s">
        <v>25</v>
      </c>
      <c r="N91" s="3" t="s">
        <v>26</v>
      </c>
    </row>
    <row r="92" spans="5:14" x14ac:dyDescent="0.3">
      <c r="E92" s="6" t="s">
        <v>128</v>
      </c>
      <c r="F92" s="6" t="s">
        <v>24</v>
      </c>
      <c r="G92" s="6">
        <v>2</v>
      </c>
      <c r="H92" s="6">
        <v>101</v>
      </c>
      <c r="I92" s="6">
        <v>6.8174999999999999</v>
      </c>
      <c r="J92" s="7">
        <v>1</v>
      </c>
      <c r="K92" s="4">
        <f>Table1[[#This Row],[Quantity]]/Table1[[#This Row],[Orders]]</f>
        <v>50.5</v>
      </c>
      <c r="L92" s="4">
        <f>Table1[[#This Row],[Total CBM]]/Table1[[#This Row],[Orders]]</f>
        <v>3.4087499999999999</v>
      </c>
      <c r="M92" s="6" t="s">
        <v>25</v>
      </c>
      <c r="N92" s="3" t="s">
        <v>26</v>
      </c>
    </row>
    <row r="93" spans="5:14" x14ac:dyDescent="0.3">
      <c r="E93" s="6" t="s">
        <v>129</v>
      </c>
      <c r="F93" s="6" t="s">
        <v>24</v>
      </c>
      <c r="G93" s="6">
        <v>1</v>
      </c>
      <c r="H93" s="6">
        <v>6</v>
      </c>
      <c r="I93" s="6">
        <v>0.28538400000000003</v>
      </c>
      <c r="J93" s="7">
        <v>1</v>
      </c>
      <c r="K93" s="4">
        <f>Table1[[#This Row],[Quantity]]/Table1[[#This Row],[Orders]]</f>
        <v>6</v>
      </c>
      <c r="L93" s="4">
        <f>Table1[[#This Row],[Total CBM]]/Table1[[#This Row],[Orders]]</f>
        <v>0.28538400000000003</v>
      </c>
      <c r="M93" s="6" t="s">
        <v>25</v>
      </c>
      <c r="N93" s="3" t="s">
        <v>26</v>
      </c>
    </row>
    <row r="94" spans="5:14" x14ac:dyDescent="0.3">
      <c r="E94" s="6" t="s">
        <v>130</v>
      </c>
      <c r="F94" s="6" t="s">
        <v>24</v>
      </c>
      <c r="G94" s="6">
        <v>18</v>
      </c>
      <c r="H94" s="6">
        <v>428</v>
      </c>
      <c r="I94" s="6">
        <v>20.037919500000001</v>
      </c>
      <c r="J94" s="7">
        <v>13</v>
      </c>
      <c r="K94" s="4">
        <f>Table1[[#This Row],[Quantity]]/Table1[[#This Row],[Orders]]</f>
        <v>23.777777777777779</v>
      </c>
      <c r="L94" s="4">
        <f>Table1[[#This Row],[Total CBM]]/Table1[[#This Row],[Orders]]</f>
        <v>1.11321775</v>
      </c>
      <c r="M94" s="6" t="s">
        <v>25</v>
      </c>
      <c r="N94" s="3" t="s">
        <v>26</v>
      </c>
    </row>
    <row r="95" spans="5:14" x14ac:dyDescent="0.3">
      <c r="E95" s="6" t="s">
        <v>131</v>
      </c>
      <c r="F95" s="6" t="s">
        <v>24</v>
      </c>
      <c r="G95" s="6">
        <v>94</v>
      </c>
      <c r="H95" s="6">
        <v>2903</v>
      </c>
      <c r="I95" s="6">
        <v>172.51426399999991</v>
      </c>
      <c r="J95" s="7">
        <v>17</v>
      </c>
      <c r="K95" s="4">
        <f>Table1[[#This Row],[Quantity]]/Table1[[#This Row],[Orders]]</f>
        <v>30.882978723404257</v>
      </c>
      <c r="L95" s="4">
        <f>Table1[[#This Row],[Total CBM]]/Table1[[#This Row],[Orders]]</f>
        <v>1.8352581276595736</v>
      </c>
      <c r="M95" s="6" t="s">
        <v>25</v>
      </c>
      <c r="N95" s="3" t="s">
        <v>26</v>
      </c>
    </row>
    <row r="96" spans="5:14" x14ac:dyDescent="0.3">
      <c r="E96" s="6" t="s">
        <v>132</v>
      </c>
      <c r="F96" s="6" t="s">
        <v>24</v>
      </c>
      <c r="G96" s="6">
        <v>49</v>
      </c>
      <c r="H96" s="6">
        <v>2007</v>
      </c>
      <c r="I96" s="6">
        <v>111.67829498000006</v>
      </c>
      <c r="J96" s="7">
        <v>35</v>
      </c>
      <c r="K96" s="4">
        <f>Table1[[#This Row],[Quantity]]/Table1[[#This Row],[Orders]]</f>
        <v>40.95918367346939</v>
      </c>
      <c r="L96" s="4">
        <f>Table1[[#This Row],[Total CBM]]/Table1[[#This Row],[Orders]]</f>
        <v>2.2791488771428585</v>
      </c>
      <c r="M96" s="6" t="s">
        <v>25</v>
      </c>
      <c r="N96" s="3" t="s">
        <v>26</v>
      </c>
    </row>
    <row r="97" spans="5:14" x14ac:dyDescent="0.3">
      <c r="E97" s="6" t="s">
        <v>133</v>
      </c>
      <c r="F97" s="6" t="s">
        <v>24</v>
      </c>
      <c r="G97" s="6">
        <v>33</v>
      </c>
      <c r="H97" s="6">
        <v>1532</v>
      </c>
      <c r="I97" s="6">
        <v>83.041938399999964</v>
      </c>
      <c r="J97" s="7">
        <v>28</v>
      </c>
      <c r="K97" s="4">
        <f>Table1[[#This Row],[Quantity]]/Table1[[#This Row],[Orders]]</f>
        <v>46.424242424242422</v>
      </c>
      <c r="L97" s="4">
        <f>Table1[[#This Row],[Total CBM]]/Table1[[#This Row],[Orders]]</f>
        <v>2.5164223757575748</v>
      </c>
      <c r="M97" s="6" t="s">
        <v>25</v>
      </c>
      <c r="N97" s="3" t="s">
        <v>26</v>
      </c>
    </row>
    <row r="98" spans="5:14" x14ac:dyDescent="0.3">
      <c r="E98" s="6" t="s">
        <v>134</v>
      </c>
      <c r="F98" s="6" t="s">
        <v>24</v>
      </c>
      <c r="G98" s="6">
        <v>19</v>
      </c>
      <c r="H98" s="6">
        <v>2241</v>
      </c>
      <c r="I98" s="6">
        <v>133.88371900000001</v>
      </c>
      <c r="J98" s="7">
        <v>3</v>
      </c>
      <c r="K98" s="4">
        <f>Table1[[#This Row],[Quantity]]/Table1[[#This Row],[Orders]]</f>
        <v>117.94736842105263</v>
      </c>
      <c r="L98" s="4">
        <f>Table1[[#This Row],[Total CBM]]/Table1[[#This Row],[Orders]]</f>
        <v>7.0465115263157898</v>
      </c>
      <c r="M98" s="6" t="s">
        <v>25</v>
      </c>
      <c r="N98" s="3" t="s">
        <v>26</v>
      </c>
    </row>
    <row r="99" spans="5:14" x14ac:dyDescent="0.3">
      <c r="E99" s="6" t="s">
        <v>135</v>
      </c>
      <c r="F99" s="6" t="s">
        <v>24</v>
      </c>
      <c r="G99" s="6">
        <v>3</v>
      </c>
      <c r="H99" s="6">
        <v>830</v>
      </c>
      <c r="I99" s="6">
        <v>46.455719999999999</v>
      </c>
      <c r="J99" s="7">
        <v>2</v>
      </c>
      <c r="K99" s="4">
        <f>Table1[[#This Row],[Quantity]]/Table1[[#This Row],[Orders]]</f>
        <v>276.66666666666669</v>
      </c>
      <c r="L99" s="4">
        <f>Table1[[#This Row],[Total CBM]]/Table1[[#This Row],[Orders]]</f>
        <v>15.485239999999999</v>
      </c>
      <c r="M99" s="6" t="s">
        <v>25</v>
      </c>
      <c r="N99" s="3" t="s">
        <v>26</v>
      </c>
    </row>
    <row r="100" spans="5:14" x14ac:dyDescent="0.3">
      <c r="E100" s="6" t="s">
        <v>136</v>
      </c>
      <c r="F100" s="6" t="s">
        <v>24</v>
      </c>
      <c r="G100" s="6">
        <v>75</v>
      </c>
      <c r="H100" s="6">
        <v>782</v>
      </c>
      <c r="I100" s="6">
        <v>56.503595500000003</v>
      </c>
      <c r="J100" s="7">
        <v>17</v>
      </c>
      <c r="K100" s="4">
        <f>Table1[[#This Row],[Quantity]]/Table1[[#This Row],[Orders]]</f>
        <v>10.426666666666666</v>
      </c>
      <c r="L100" s="4">
        <f>Table1[[#This Row],[Total CBM]]/Table1[[#This Row],[Orders]]</f>
        <v>0.75338127333333338</v>
      </c>
      <c r="M100" s="6" t="s">
        <v>25</v>
      </c>
      <c r="N100" s="3" t="s">
        <v>26</v>
      </c>
    </row>
    <row r="101" spans="5:14" x14ac:dyDescent="0.3">
      <c r="E101" s="6" t="s">
        <v>137</v>
      </c>
      <c r="F101" s="6" t="s">
        <v>24</v>
      </c>
      <c r="G101" s="6">
        <v>36</v>
      </c>
      <c r="H101" s="6">
        <v>696</v>
      </c>
      <c r="I101" s="6">
        <v>35.321753000000008</v>
      </c>
      <c r="J101" s="7">
        <v>22</v>
      </c>
      <c r="K101" s="4">
        <f>Table1[[#This Row],[Quantity]]/Table1[[#This Row],[Orders]]</f>
        <v>19.333333333333332</v>
      </c>
      <c r="L101" s="4">
        <f>Table1[[#This Row],[Total CBM]]/Table1[[#This Row],[Orders]]</f>
        <v>0.98115980555555582</v>
      </c>
      <c r="M101" s="6" t="s">
        <v>25</v>
      </c>
      <c r="N101" s="3" t="s">
        <v>26</v>
      </c>
    </row>
    <row r="102" spans="5:14" x14ac:dyDescent="0.3">
      <c r="E102" s="6" t="s">
        <v>138</v>
      </c>
      <c r="F102" s="6" t="s">
        <v>24</v>
      </c>
      <c r="G102" s="6">
        <v>1</v>
      </c>
      <c r="H102" s="6">
        <v>30</v>
      </c>
      <c r="I102" s="6">
        <v>1.6504799999999999</v>
      </c>
      <c r="J102" s="7">
        <v>1</v>
      </c>
      <c r="K102" s="4">
        <f>Table1[[#This Row],[Quantity]]/Table1[[#This Row],[Orders]]</f>
        <v>30</v>
      </c>
      <c r="L102" s="4">
        <f>Table1[[#This Row],[Total CBM]]/Table1[[#This Row],[Orders]]</f>
        <v>1.6504799999999999</v>
      </c>
      <c r="M102" s="6" t="s">
        <v>25</v>
      </c>
      <c r="N102" s="3" t="s">
        <v>26</v>
      </c>
    </row>
    <row r="103" spans="5:14" x14ac:dyDescent="0.3">
      <c r="E103" s="6" t="s">
        <v>139</v>
      </c>
      <c r="F103" s="6" t="s">
        <v>24</v>
      </c>
      <c r="G103" s="6">
        <v>14</v>
      </c>
      <c r="H103" s="6">
        <v>710</v>
      </c>
      <c r="I103" s="6">
        <v>34.119565000000001</v>
      </c>
      <c r="J103" s="7">
        <v>13</v>
      </c>
      <c r="K103" s="4">
        <f>Table1[[#This Row],[Quantity]]/Table1[[#This Row],[Orders]]</f>
        <v>50.714285714285715</v>
      </c>
      <c r="L103" s="4">
        <f>Table1[[#This Row],[Total CBM]]/Table1[[#This Row],[Orders]]</f>
        <v>2.4371117857142859</v>
      </c>
      <c r="M103" s="6" t="s">
        <v>25</v>
      </c>
      <c r="N103" s="3" t="s">
        <v>26</v>
      </c>
    </row>
    <row r="104" spans="5:14" x14ac:dyDescent="0.3">
      <c r="E104" s="6" t="s">
        <v>140</v>
      </c>
      <c r="F104" s="6" t="s">
        <v>24</v>
      </c>
      <c r="G104" s="6">
        <v>17</v>
      </c>
      <c r="H104" s="6">
        <v>639</v>
      </c>
      <c r="I104" s="6">
        <v>36.747</v>
      </c>
      <c r="J104" s="7">
        <v>11</v>
      </c>
      <c r="K104" s="4">
        <f>Table1[[#This Row],[Quantity]]/Table1[[#This Row],[Orders]]</f>
        <v>37.588235294117645</v>
      </c>
      <c r="L104" s="4">
        <f>Table1[[#This Row],[Total CBM]]/Table1[[#This Row],[Orders]]</f>
        <v>2.1615882352941176</v>
      </c>
      <c r="M104" s="6" t="s">
        <v>25</v>
      </c>
      <c r="N104" s="3" t="s">
        <v>26</v>
      </c>
    </row>
    <row r="105" spans="5:14" x14ac:dyDescent="0.3">
      <c r="E105" s="6" t="s">
        <v>141</v>
      </c>
      <c r="F105" s="6" t="s">
        <v>24</v>
      </c>
      <c r="G105" s="6">
        <v>10</v>
      </c>
      <c r="H105" s="6">
        <v>182</v>
      </c>
      <c r="I105" s="6">
        <v>8.919179999999999</v>
      </c>
      <c r="J105" s="7">
        <v>8</v>
      </c>
      <c r="K105" s="4">
        <f>Table1[[#This Row],[Quantity]]/Table1[[#This Row],[Orders]]</f>
        <v>18.2</v>
      </c>
      <c r="L105" s="4">
        <f>Table1[[#This Row],[Total CBM]]/Table1[[#This Row],[Orders]]</f>
        <v>0.89191799999999988</v>
      </c>
      <c r="M105" s="6" t="s">
        <v>25</v>
      </c>
      <c r="N105" s="3" t="s">
        <v>26</v>
      </c>
    </row>
    <row r="106" spans="5:14" x14ac:dyDescent="0.3">
      <c r="E106" s="6" t="s">
        <v>141</v>
      </c>
      <c r="F106" s="6" t="s">
        <v>24</v>
      </c>
      <c r="G106" s="6">
        <v>20</v>
      </c>
      <c r="H106" s="6">
        <v>23</v>
      </c>
      <c r="I106" s="6">
        <v>0.8922974063500001</v>
      </c>
      <c r="J106" s="7">
        <v>18</v>
      </c>
      <c r="K106" s="4">
        <f>Table1[[#This Row],[Quantity]]/Table1[[#This Row],[Orders]]</f>
        <v>1.1499999999999999</v>
      </c>
      <c r="L106" s="4">
        <f>Table1[[#This Row],[Total CBM]]/Table1[[#This Row],[Orders]]</f>
        <v>4.4614870317500006E-2</v>
      </c>
      <c r="M106" s="6" t="s">
        <v>45</v>
      </c>
      <c r="N106" s="3" t="s">
        <v>26</v>
      </c>
    </row>
    <row r="107" spans="5:14" x14ac:dyDescent="0.3">
      <c r="E107" s="6" t="s">
        <v>142</v>
      </c>
      <c r="F107" s="6" t="s">
        <v>24</v>
      </c>
      <c r="G107" s="6">
        <v>446</v>
      </c>
      <c r="H107" s="6">
        <v>4430</v>
      </c>
      <c r="I107" s="6">
        <v>205.28120816666674</v>
      </c>
      <c r="J107" s="7">
        <v>52</v>
      </c>
      <c r="K107" s="4">
        <f>Table1[[#This Row],[Quantity]]/Table1[[#This Row],[Orders]]</f>
        <v>9.9327354260089677</v>
      </c>
      <c r="L107" s="4">
        <f>Table1[[#This Row],[Total CBM]]/Table1[[#This Row],[Orders]]</f>
        <v>0.46027176718983576</v>
      </c>
      <c r="M107" s="6" t="s">
        <v>25</v>
      </c>
      <c r="N107" s="3" t="s">
        <v>26</v>
      </c>
    </row>
    <row r="108" spans="5:14" x14ac:dyDescent="0.3">
      <c r="E108" s="6" t="s">
        <v>143</v>
      </c>
      <c r="F108" s="6" t="s">
        <v>24</v>
      </c>
      <c r="G108" s="6">
        <v>2</v>
      </c>
      <c r="H108" s="6">
        <v>50</v>
      </c>
      <c r="I108" s="6">
        <v>2.5028199999999998</v>
      </c>
      <c r="J108" s="7">
        <v>2</v>
      </c>
      <c r="K108" s="4">
        <f>Table1[[#This Row],[Quantity]]/Table1[[#This Row],[Orders]]</f>
        <v>25</v>
      </c>
      <c r="L108" s="4">
        <f>Table1[[#This Row],[Total CBM]]/Table1[[#This Row],[Orders]]</f>
        <v>1.2514099999999999</v>
      </c>
      <c r="M108" s="6" t="s">
        <v>25</v>
      </c>
      <c r="N108" s="3" t="s">
        <v>26</v>
      </c>
    </row>
    <row r="109" spans="5:14" x14ac:dyDescent="0.3">
      <c r="E109" s="6" t="s">
        <v>144</v>
      </c>
      <c r="F109" s="6" t="s">
        <v>24</v>
      </c>
      <c r="G109" s="6">
        <v>7</v>
      </c>
      <c r="H109" s="6">
        <v>607</v>
      </c>
      <c r="I109" s="6">
        <v>34.274211000000001</v>
      </c>
      <c r="J109" s="7">
        <v>7</v>
      </c>
      <c r="K109" s="4">
        <f>Table1[[#This Row],[Quantity]]/Table1[[#This Row],[Orders]]</f>
        <v>86.714285714285708</v>
      </c>
      <c r="L109" s="4">
        <f>Table1[[#This Row],[Total CBM]]/Table1[[#This Row],[Orders]]</f>
        <v>4.8963158571428576</v>
      </c>
      <c r="M109" s="6" t="s">
        <v>25</v>
      </c>
      <c r="N109" s="3" t="s">
        <v>26</v>
      </c>
    </row>
    <row r="110" spans="5:14" x14ac:dyDescent="0.3">
      <c r="E110" s="6" t="s">
        <v>145</v>
      </c>
      <c r="F110" s="6" t="s">
        <v>24</v>
      </c>
      <c r="G110" s="6">
        <v>3</v>
      </c>
      <c r="H110" s="6">
        <v>200</v>
      </c>
      <c r="I110" s="6">
        <v>8.3957499999999996</v>
      </c>
      <c r="J110" s="7">
        <v>3</v>
      </c>
      <c r="K110" s="4">
        <f>Table1[[#This Row],[Quantity]]/Table1[[#This Row],[Orders]]</f>
        <v>66.666666666666671</v>
      </c>
      <c r="L110" s="4">
        <f>Table1[[#This Row],[Total CBM]]/Table1[[#This Row],[Orders]]</f>
        <v>2.7985833333333332</v>
      </c>
      <c r="M110" s="6" t="s">
        <v>25</v>
      </c>
      <c r="N110" s="3" t="s">
        <v>26</v>
      </c>
    </row>
    <row r="111" spans="5:14" x14ac:dyDescent="0.3">
      <c r="E111" s="6" t="s">
        <v>146</v>
      </c>
      <c r="F111" s="6" t="s">
        <v>24</v>
      </c>
      <c r="G111" s="6">
        <v>27</v>
      </c>
      <c r="H111" s="6">
        <v>2295</v>
      </c>
      <c r="I111" s="6">
        <v>148.75737000000001</v>
      </c>
      <c r="J111" s="7">
        <v>13</v>
      </c>
      <c r="K111" s="4">
        <f>Table1[[#This Row],[Quantity]]/Table1[[#This Row],[Orders]]</f>
        <v>85</v>
      </c>
      <c r="L111" s="4">
        <f>Table1[[#This Row],[Total CBM]]/Table1[[#This Row],[Orders]]</f>
        <v>5.5095322222222229</v>
      </c>
      <c r="M111" s="6" t="s">
        <v>25</v>
      </c>
      <c r="N111" s="3" t="s">
        <v>26</v>
      </c>
    </row>
    <row r="112" spans="5:14" x14ac:dyDescent="0.3">
      <c r="E112" s="6" t="s">
        <v>147</v>
      </c>
      <c r="F112" s="6" t="s">
        <v>24</v>
      </c>
      <c r="G112" s="6">
        <v>11</v>
      </c>
      <c r="H112" s="6">
        <v>653</v>
      </c>
      <c r="I112" s="6">
        <v>41.019857000000002</v>
      </c>
      <c r="J112" s="7">
        <v>7</v>
      </c>
      <c r="K112" s="4">
        <f>Table1[[#This Row],[Quantity]]/Table1[[#This Row],[Orders]]</f>
        <v>59.363636363636367</v>
      </c>
      <c r="L112" s="4">
        <f>Table1[[#This Row],[Total CBM]]/Table1[[#This Row],[Orders]]</f>
        <v>3.7290779090909094</v>
      </c>
      <c r="M112" s="6" t="s">
        <v>25</v>
      </c>
      <c r="N112" s="3" t="s">
        <v>26</v>
      </c>
    </row>
    <row r="113" spans="5:14" x14ac:dyDescent="0.3">
      <c r="E113" s="6" t="s">
        <v>148</v>
      </c>
      <c r="F113" s="6" t="s">
        <v>24</v>
      </c>
      <c r="G113" s="6">
        <v>2</v>
      </c>
      <c r="H113" s="6">
        <v>681</v>
      </c>
      <c r="I113" s="6">
        <v>45.349483999999997</v>
      </c>
      <c r="J113" s="7">
        <v>2</v>
      </c>
      <c r="K113" s="4">
        <f>Table1[[#This Row],[Quantity]]/Table1[[#This Row],[Orders]]</f>
        <v>340.5</v>
      </c>
      <c r="L113" s="4">
        <f>Table1[[#This Row],[Total CBM]]/Table1[[#This Row],[Orders]]</f>
        <v>22.674741999999998</v>
      </c>
      <c r="M113" s="6" t="s">
        <v>25</v>
      </c>
      <c r="N113" s="3" t="s">
        <v>26</v>
      </c>
    </row>
    <row r="114" spans="5:14" x14ac:dyDescent="0.3">
      <c r="E114" s="6" t="s">
        <v>149</v>
      </c>
      <c r="F114" s="6" t="s">
        <v>24</v>
      </c>
      <c r="G114" s="6">
        <v>7</v>
      </c>
      <c r="H114" s="6">
        <v>156</v>
      </c>
      <c r="I114" s="6">
        <v>7.2499124999999989</v>
      </c>
      <c r="J114" s="7">
        <v>7</v>
      </c>
      <c r="K114" s="4">
        <f>Table1[[#This Row],[Quantity]]/Table1[[#This Row],[Orders]]</f>
        <v>22.285714285714285</v>
      </c>
      <c r="L114" s="4">
        <f>Table1[[#This Row],[Total CBM]]/Table1[[#This Row],[Orders]]</f>
        <v>1.0357017857142856</v>
      </c>
      <c r="M114" s="6" t="s">
        <v>25</v>
      </c>
      <c r="N114" s="3" t="s">
        <v>26</v>
      </c>
    </row>
    <row r="115" spans="5:14" x14ac:dyDescent="0.3">
      <c r="E115" s="6" t="s">
        <v>150</v>
      </c>
      <c r="F115" s="6" t="s">
        <v>24</v>
      </c>
      <c r="G115" s="6">
        <v>3</v>
      </c>
      <c r="H115" s="6">
        <v>164</v>
      </c>
      <c r="I115" s="6">
        <v>12.737496</v>
      </c>
      <c r="J115" s="7">
        <v>3</v>
      </c>
      <c r="K115" s="4">
        <f>Table1[[#This Row],[Quantity]]/Table1[[#This Row],[Orders]]</f>
        <v>54.666666666666664</v>
      </c>
      <c r="L115" s="4">
        <f>Table1[[#This Row],[Total CBM]]/Table1[[#This Row],[Orders]]</f>
        <v>4.2458320000000001</v>
      </c>
      <c r="M115" s="6" t="s">
        <v>25</v>
      </c>
      <c r="N115" s="3" t="s">
        <v>26</v>
      </c>
    </row>
    <row r="116" spans="5:14" x14ac:dyDescent="0.3">
      <c r="E116" s="6" t="s">
        <v>151</v>
      </c>
      <c r="F116" s="6" t="s">
        <v>24</v>
      </c>
      <c r="G116" s="6">
        <v>44</v>
      </c>
      <c r="H116" s="6">
        <v>2227</v>
      </c>
      <c r="I116" s="6">
        <v>153.38921950000002</v>
      </c>
      <c r="J116" s="7">
        <v>16</v>
      </c>
      <c r="K116" s="4">
        <f>Table1[[#This Row],[Quantity]]/Table1[[#This Row],[Orders]]</f>
        <v>50.613636363636367</v>
      </c>
      <c r="L116" s="4">
        <f>Table1[[#This Row],[Total CBM]]/Table1[[#This Row],[Orders]]</f>
        <v>3.4861186250000005</v>
      </c>
      <c r="M116" s="6" t="s">
        <v>25</v>
      </c>
      <c r="N116" s="3" t="s">
        <v>26</v>
      </c>
    </row>
    <row r="117" spans="5:14" x14ac:dyDescent="0.3">
      <c r="E117" s="6" t="s">
        <v>152</v>
      </c>
      <c r="F117" s="6" t="s">
        <v>24</v>
      </c>
      <c r="G117" s="6">
        <v>855</v>
      </c>
      <c r="H117" s="6">
        <v>3398</v>
      </c>
      <c r="I117" s="6">
        <v>173.39492652500019</v>
      </c>
      <c r="J117" s="7">
        <v>46</v>
      </c>
      <c r="K117" s="4">
        <f>Table1[[#This Row],[Quantity]]/Table1[[#This Row],[Orders]]</f>
        <v>3.9742690058479533</v>
      </c>
      <c r="L117" s="4">
        <f>Table1[[#This Row],[Total CBM]]/Table1[[#This Row],[Orders]]</f>
        <v>0.20280108365497099</v>
      </c>
      <c r="M117" s="6" t="s">
        <v>25</v>
      </c>
      <c r="N117" s="3" t="s">
        <v>26</v>
      </c>
    </row>
    <row r="118" spans="5:14" x14ac:dyDescent="0.3">
      <c r="E118" s="6" t="s">
        <v>153</v>
      </c>
      <c r="F118" s="6" t="s">
        <v>24</v>
      </c>
      <c r="G118" s="6">
        <v>33</v>
      </c>
      <c r="H118" s="6">
        <v>482</v>
      </c>
      <c r="I118" s="6">
        <v>36.963544000000006</v>
      </c>
      <c r="J118" s="7">
        <v>17</v>
      </c>
      <c r="K118" s="4">
        <f>Table1[[#This Row],[Quantity]]/Table1[[#This Row],[Orders]]</f>
        <v>14.606060606060606</v>
      </c>
      <c r="L118" s="4">
        <f>Table1[[#This Row],[Total CBM]]/Table1[[#This Row],[Orders]]</f>
        <v>1.1201073939393942</v>
      </c>
      <c r="M118" s="6" t="s">
        <v>25</v>
      </c>
      <c r="N118" s="3" t="s">
        <v>26</v>
      </c>
    </row>
    <row r="119" spans="5:14" x14ac:dyDescent="0.3">
      <c r="E119" s="6" t="s">
        <v>154</v>
      </c>
      <c r="F119" s="6" t="s">
        <v>24</v>
      </c>
      <c r="G119" s="6">
        <v>18</v>
      </c>
      <c r="H119" s="6">
        <v>960</v>
      </c>
      <c r="I119" s="6">
        <v>58.168944999999994</v>
      </c>
      <c r="J119" s="7">
        <v>14</v>
      </c>
      <c r="K119" s="4">
        <f>Table1[[#This Row],[Quantity]]/Table1[[#This Row],[Orders]]</f>
        <v>53.333333333333336</v>
      </c>
      <c r="L119" s="4">
        <f>Table1[[#This Row],[Total CBM]]/Table1[[#This Row],[Orders]]</f>
        <v>3.2316080555555553</v>
      </c>
      <c r="M119" s="6" t="s">
        <v>25</v>
      </c>
      <c r="N119" s="3" t="s">
        <v>26</v>
      </c>
    </row>
    <row r="120" spans="5:14" x14ac:dyDescent="0.3">
      <c r="E120" s="6" t="s">
        <v>155</v>
      </c>
      <c r="F120" s="6" t="s">
        <v>24</v>
      </c>
      <c r="G120" s="6">
        <v>11</v>
      </c>
      <c r="H120" s="6">
        <v>219</v>
      </c>
      <c r="I120" s="6">
        <v>10.175089999999999</v>
      </c>
      <c r="J120" s="7">
        <v>10</v>
      </c>
      <c r="K120" s="4">
        <f>Table1[[#This Row],[Quantity]]/Table1[[#This Row],[Orders]]</f>
        <v>19.90909090909091</v>
      </c>
      <c r="L120" s="4">
        <f>Table1[[#This Row],[Total CBM]]/Table1[[#This Row],[Orders]]</f>
        <v>0.92500818181818178</v>
      </c>
      <c r="M120" s="6" t="s">
        <v>25</v>
      </c>
      <c r="N120" s="3" t="s">
        <v>26</v>
      </c>
    </row>
    <row r="121" spans="5:14" x14ac:dyDescent="0.3">
      <c r="E121" s="6" t="s">
        <v>156</v>
      </c>
      <c r="F121" s="6" t="s">
        <v>24</v>
      </c>
      <c r="G121" s="6">
        <v>1</v>
      </c>
      <c r="H121" s="6">
        <v>10</v>
      </c>
      <c r="I121" s="6">
        <v>0.92839499999999997</v>
      </c>
      <c r="J121" s="7">
        <v>1</v>
      </c>
      <c r="K121" s="4">
        <f>Table1[[#This Row],[Quantity]]/Table1[[#This Row],[Orders]]</f>
        <v>10</v>
      </c>
      <c r="L121" s="4">
        <f>Table1[[#This Row],[Total CBM]]/Table1[[#This Row],[Orders]]</f>
        <v>0.92839499999999997</v>
      </c>
      <c r="M121" s="6" t="s">
        <v>25</v>
      </c>
      <c r="N121" s="3" t="s">
        <v>26</v>
      </c>
    </row>
    <row r="122" spans="5:14" x14ac:dyDescent="0.3">
      <c r="E122" s="6" t="s">
        <v>157</v>
      </c>
      <c r="F122" s="6" t="s">
        <v>24</v>
      </c>
      <c r="G122" s="6">
        <v>24</v>
      </c>
      <c r="H122" s="6">
        <v>454</v>
      </c>
      <c r="I122" s="6">
        <v>23.362155999999999</v>
      </c>
      <c r="J122" s="7">
        <v>16</v>
      </c>
      <c r="K122" s="4">
        <f>Table1[[#This Row],[Quantity]]/Table1[[#This Row],[Orders]]</f>
        <v>18.916666666666668</v>
      </c>
      <c r="L122" s="4">
        <f>Table1[[#This Row],[Total CBM]]/Table1[[#This Row],[Orders]]</f>
        <v>0.97342316666666662</v>
      </c>
      <c r="M122" s="6" t="s">
        <v>25</v>
      </c>
      <c r="N122" s="3" t="s">
        <v>26</v>
      </c>
    </row>
    <row r="123" spans="5:14" x14ac:dyDescent="0.3">
      <c r="E123" s="6" t="s">
        <v>158</v>
      </c>
      <c r="F123" s="6" t="s">
        <v>24</v>
      </c>
      <c r="G123" s="6">
        <v>93</v>
      </c>
      <c r="H123" s="6">
        <v>2421</v>
      </c>
      <c r="I123" s="6">
        <v>152.45074320000003</v>
      </c>
      <c r="J123" s="7">
        <v>15</v>
      </c>
      <c r="K123" s="4">
        <f>Table1[[#This Row],[Quantity]]/Table1[[#This Row],[Orders]]</f>
        <v>26.032258064516128</v>
      </c>
      <c r="L123" s="4">
        <f>Table1[[#This Row],[Total CBM]]/Table1[[#This Row],[Orders]]</f>
        <v>1.6392553032258068</v>
      </c>
      <c r="M123" s="6" t="s">
        <v>25</v>
      </c>
      <c r="N123" s="3" t="s">
        <v>26</v>
      </c>
    </row>
    <row r="124" spans="5:14" x14ac:dyDescent="0.3">
      <c r="E124" s="6" t="s">
        <v>159</v>
      </c>
      <c r="F124" s="6" t="s">
        <v>24</v>
      </c>
      <c r="G124" s="6">
        <v>22</v>
      </c>
      <c r="H124" s="6">
        <v>867</v>
      </c>
      <c r="I124" s="6">
        <v>50.685020399999999</v>
      </c>
      <c r="J124" s="7">
        <v>16</v>
      </c>
      <c r="K124" s="4">
        <f>Table1[[#This Row],[Quantity]]/Table1[[#This Row],[Orders]]</f>
        <v>39.409090909090907</v>
      </c>
      <c r="L124" s="4">
        <f>Table1[[#This Row],[Total CBM]]/Table1[[#This Row],[Orders]]</f>
        <v>2.3038645636363637</v>
      </c>
      <c r="M124" s="6" t="s">
        <v>25</v>
      </c>
      <c r="N124" s="3" t="s">
        <v>26</v>
      </c>
    </row>
    <row r="125" spans="5:14" x14ac:dyDescent="0.3">
      <c r="E125" s="6" t="s">
        <v>160</v>
      </c>
      <c r="F125" s="6" t="s">
        <v>24</v>
      </c>
      <c r="G125" s="6">
        <v>9</v>
      </c>
      <c r="H125" s="6">
        <v>1495</v>
      </c>
      <c r="I125" s="6">
        <v>112.97111</v>
      </c>
      <c r="J125" s="7">
        <v>5</v>
      </c>
      <c r="K125" s="4">
        <f>Table1[[#This Row],[Quantity]]/Table1[[#This Row],[Orders]]</f>
        <v>166.11111111111111</v>
      </c>
      <c r="L125" s="4">
        <f>Table1[[#This Row],[Total CBM]]/Table1[[#This Row],[Orders]]</f>
        <v>12.552345555555554</v>
      </c>
      <c r="M125" s="6" t="s">
        <v>25</v>
      </c>
      <c r="N125" s="3" t="s">
        <v>26</v>
      </c>
    </row>
    <row r="126" spans="5:14" x14ac:dyDescent="0.3">
      <c r="E126" s="6" t="s">
        <v>161</v>
      </c>
      <c r="F126" s="6" t="s">
        <v>24</v>
      </c>
      <c r="G126" s="6">
        <v>282</v>
      </c>
      <c r="H126" s="6">
        <v>2876</v>
      </c>
      <c r="I126" s="6">
        <v>160.26299161666668</v>
      </c>
      <c r="J126" s="7">
        <v>33</v>
      </c>
      <c r="K126" s="4">
        <f>Table1[[#This Row],[Quantity]]/Table1[[#This Row],[Orders]]</f>
        <v>10.198581560283689</v>
      </c>
      <c r="L126" s="4">
        <f>Table1[[#This Row],[Total CBM]]/Table1[[#This Row],[Orders]]</f>
        <v>0.5683084809101655</v>
      </c>
      <c r="M126" s="6" t="s">
        <v>25</v>
      </c>
      <c r="N126" s="3" t="s">
        <v>26</v>
      </c>
    </row>
    <row r="127" spans="5:14" x14ac:dyDescent="0.3">
      <c r="E127" s="6" t="s">
        <v>162</v>
      </c>
      <c r="F127" s="6" t="s">
        <v>24</v>
      </c>
      <c r="G127" s="6">
        <v>592</v>
      </c>
      <c r="H127" s="6">
        <v>2527</v>
      </c>
      <c r="I127" s="6">
        <v>120.99807784166673</v>
      </c>
      <c r="J127" s="7">
        <v>54</v>
      </c>
      <c r="K127" s="4">
        <f>Table1[[#This Row],[Quantity]]/Table1[[#This Row],[Orders]]</f>
        <v>4.2685810810810807</v>
      </c>
      <c r="L127" s="4">
        <f>Table1[[#This Row],[Total CBM]]/Table1[[#This Row],[Orders]]</f>
        <v>0.20438864500281542</v>
      </c>
      <c r="M127" s="6" t="s">
        <v>25</v>
      </c>
      <c r="N127" s="3" t="s">
        <v>26</v>
      </c>
    </row>
    <row r="128" spans="5:14" x14ac:dyDescent="0.3">
      <c r="E128" s="6" t="s">
        <v>162</v>
      </c>
      <c r="F128" s="6" t="s">
        <v>24</v>
      </c>
      <c r="G128" s="6">
        <v>25</v>
      </c>
      <c r="H128" s="6">
        <v>33</v>
      </c>
      <c r="I128" s="6">
        <v>1.4336004902222221</v>
      </c>
      <c r="J128" s="7">
        <v>22</v>
      </c>
      <c r="K128" s="4">
        <f>Table1[[#This Row],[Quantity]]/Table1[[#This Row],[Orders]]</f>
        <v>1.32</v>
      </c>
      <c r="L128" s="4">
        <f>Table1[[#This Row],[Total CBM]]/Table1[[#This Row],[Orders]]</f>
        <v>5.7344019608888887E-2</v>
      </c>
      <c r="M128" s="6" t="s">
        <v>45</v>
      </c>
      <c r="N128" s="3" t="s">
        <v>26</v>
      </c>
    </row>
    <row r="129" spans="5:14" x14ac:dyDescent="0.3">
      <c r="E129" s="6" t="s">
        <v>163</v>
      </c>
      <c r="F129" s="6" t="s">
        <v>24</v>
      </c>
      <c r="G129" s="6">
        <v>128</v>
      </c>
      <c r="H129" s="6">
        <v>7286</v>
      </c>
      <c r="I129" s="6">
        <v>384.31738869999992</v>
      </c>
      <c r="J129" s="7">
        <v>45</v>
      </c>
      <c r="K129" s="4">
        <f>Table1[[#This Row],[Quantity]]/Table1[[#This Row],[Orders]]</f>
        <v>56.921875</v>
      </c>
      <c r="L129" s="4">
        <f>Table1[[#This Row],[Total CBM]]/Table1[[#This Row],[Orders]]</f>
        <v>3.0024795992187494</v>
      </c>
      <c r="M129" s="6" t="s">
        <v>25</v>
      </c>
      <c r="N129" s="3" t="s">
        <v>26</v>
      </c>
    </row>
    <row r="130" spans="5:14" x14ac:dyDescent="0.3">
      <c r="E130" s="6" t="s">
        <v>164</v>
      </c>
      <c r="F130" s="6" t="s">
        <v>24</v>
      </c>
      <c r="G130" s="6">
        <v>5</v>
      </c>
      <c r="H130" s="6">
        <v>250</v>
      </c>
      <c r="I130" s="6">
        <v>12.888081999999999</v>
      </c>
      <c r="J130" s="7">
        <v>4</v>
      </c>
      <c r="K130" s="4">
        <f>Table1[[#This Row],[Quantity]]/Table1[[#This Row],[Orders]]</f>
        <v>50</v>
      </c>
      <c r="L130" s="4">
        <f>Table1[[#This Row],[Total CBM]]/Table1[[#This Row],[Orders]]</f>
        <v>2.5776163999999997</v>
      </c>
      <c r="M130" s="6" t="s">
        <v>25</v>
      </c>
      <c r="N130" s="3" t="s">
        <v>26</v>
      </c>
    </row>
    <row r="131" spans="5:14" x14ac:dyDescent="0.3">
      <c r="E131" s="6" t="s">
        <v>165</v>
      </c>
      <c r="F131" s="6" t="s">
        <v>24</v>
      </c>
      <c r="G131" s="6">
        <v>12</v>
      </c>
      <c r="H131" s="6">
        <v>626</v>
      </c>
      <c r="I131" s="6">
        <v>33.989331999999997</v>
      </c>
      <c r="J131" s="7">
        <v>9</v>
      </c>
      <c r="K131" s="4">
        <f>Table1[[#This Row],[Quantity]]/Table1[[#This Row],[Orders]]</f>
        <v>52.166666666666664</v>
      </c>
      <c r="L131" s="4">
        <f>Table1[[#This Row],[Total CBM]]/Table1[[#This Row],[Orders]]</f>
        <v>2.8324443333333331</v>
      </c>
      <c r="M131" s="6" t="s">
        <v>25</v>
      </c>
      <c r="N131" s="3" t="s">
        <v>26</v>
      </c>
    </row>
    <row r="132" spans="5:14" x14ac:dyDescent="0.3">
      <c r="E132" s="6" t="s">
        <v>166</v>
      </c>
      <c r="F132" s="6" t="s">
        <v>24</v>
      </c>
      <c r="G132" s="6">
        <v>651</v>
      </c>
      <c r="H132" s="6">
        <v>1874</v>
      </c>
      <c r="I132" s="6">
        <v>97.330067291666552</v>
      </c>
      <c r="J132" s="7">
        <v>29</v>
      </c>
      <c r="K132" s="4">
        <f>Table1[[#This Row],[Quantity]]/Table1[[#This Row],[Orders]]</f>
        <v>2.8786482334869432</v>
      </c>
      <c r="L132" s="4">
        <f>Table1[[#This Row],[Total CBM]]/Table1[[#This Row],[Orders]]</f>
        <v>0.1495085519073219</v>
      </c>
      <c r="M132" s="6" t="s">
        <v>25</v>
      </c>
      <c r="N132" s="3" t="s">
        <v>26</v>
      </c>
    </row>
    <row r="133" spans="5:14" x14ac:dyDescent="0.3">
      <c r="E133" s="6" t="s">
        <v>167</v>
      </c>
      <c r="F133" s="6" t="s">
        <v>24</v>
      </c>
      <c r="G133" s="6">
        <v>6</v>
      </c>
      <c r="H133" s="6">
        <v>82</v>
      </c>
      <c r="I133" s="6">
        <v>3.5372950000000003</v>
      </c>
      <c r="J133" s="7">
        <v>6</v>
      </c>
      <c r="K133" s="4">
        <f>Table1[[#This Row],[Quantity]]/Table1[[#This Row],[Orders]]</f>
        <v>13.666666666666666</v>
      </c>
      <c r="L133" s="4">
        <f>Table1[[#This Row],[Total CBM]]/Table1[[#This Row],[Orders]]</f>
        <v>0.58954916666666668</v>
      </c>
      <c r="M133" s="6" t="s">
        <v>25</v>
      </c>
      <c r="N133" s="3" t="s">
        <v>26</v>
      </c>
    </row>
    <row r="134" spans="5:14" x14ac:dyDescent="0.3">
      <c r="E134" s="6" t="s">
        <v>168</v>
      </c>
      <c r="F134" s="6" t="s">
        <v>24</v>
      </c>
      <c r="G134" s="6">
        <v>8</v>
      </c>
      <c r="H134" s="6">
        <v>273</v>
      </c>
      <c r="I134" s="6">
        <v>13.408407500000001</v>
      </c>
      <c r="J134" s="7">
        <v>8</v>
      </c>
      <c r="K134" s="4">
        <f>Table1[[#This Row],[Quantity]]/Table1[[#This Row],[Orders]]</f>
        <v>34.125</v>
      </c>
      <c r="L134" s="4">
        <f>Table1[[#This Row],[Total CBM]]/Table1[[#This Row],[Orders]]</f>
        <v>1.6760509375000001</v>
      </c>
      <c r="M134" s="6" t="s">
        <v>25</v>
      </c>
      <c r="N134" s="3" t="s">
        <v>26</v>
      </c>
    </row>
    <row r="135" spans="5:14" x14ac:dyDescent="0.3">
      <c r="E135" s="6" t="s">
        <v>169</v>
      </c>
      <c r="F135" s="6" t="s">
        <v>24</v>
      </c>
      <c r="G135" s="6">
        <v>20</v>
      </c>
      <c r="H135" s="6">
        <v>1660</v>
      </c>
      <c r="I135" s="6">
        <v>105.80300500000003</v>
      </c>
      <c r="J135" s="7">
        <v>1</v>
      </c>
      <c r="K135" s="4">
        <f>Table1[[#This Row],[Quantity]]/Table1[[#This Row],[Orders]]</f>
        <v>83</v>
      </c>
      <c r="L135" s="4">
        <f>Table1[[#This Row],[Total CBM]]/Table1[[#This Row],[Orders]]</f>
        <v>5.2901502500000017</v>
      </c>
      <c r="M135" s="6" t="s">
        <v>25</v>
      </c>
      <c r="N135" s="3" t="s">
        <v>26</v>
      </c>
    </row>
    <row r="136" spans="5:14" x14ac:dyDescent="0.3">
      <c r="E136" s="6" t="s">
        <v>170</v>
      </c>
      <c r="F136" s="6" t="s">
        <v>24</v>
      </c>
      <c r="G136" s="6">
        <v>572</v>
      </c>
      <c r="H136" s="6">
        <v>1630</v>
      </c>
      <c r="I136" s="6">
        <v>75.720368258333295</v>
      </c>
      <c r="J136" s="7">
        <v>28</v>
      </c>
      <c r="K136" s="4">
        <f>Table1[[#This Row],[Quantity]]/Table1[[#This Row],[Orders]]</f>
        <v>2.8496503496503496</v>
      </c>
      <c r="L136" s="4">
        <f>Table1[[#This Row],[Total CBM]]/Table1[[#This Row],[Orders]]</f>
        <v>0.13237826618589738</v>
      </c>
      <c r="M136" s="6" t="s">
        <v>25</v>
      </c>
      <c r="N136" s="3" t="s">
        <v>26</v>
      </c>
    </row>
    <row r="137" spans="5:14" x14ac:dyDescent="0.3">
      <c r="E137" s="6" t="s">
        <v>171</v>
      </c>
      <c r="F137" s="6" t="s">
        <v>24</v>
      </c>
      <c r="G137" s="6">
        <v>94</v>
      </c>
      <c r="H137" s="6">
        <v>2520</v>
      </c>
      <c r="I137" s="6">
        <v>154.55653799999996</v>
      </c>
      <c r="J137" s="7">
        <v>16</v>
      </c>
      <c r="K137" s="4">
        <f>Table1[[#This Row],[Quantity]]/Table1[[#This Row],[Orders]]</f>
        <v>26.808510638297872</v>
      </c>
      <c r="L137" s="4">
        <f>Table1[[#This Row],[Total CBM]]/Table1[[#This Row],[Orders]]</f>
        <v>1.6442184893617018</v>
      </c>
      <c r="M137" s="6" t="s">
        <v>25</v>
      </c>
      <c r="N137" s="3" t="s">
        <v>26</v>
      </c>
    </row>
    <row r="138" spans="5:14" x14ac:dyDescent="0.3">
      <c r="E138" s="6" t="s">
        <v>172</v>
      </c>
      <c r="F138" s="6" t="s">
        <v>24</v>
      </c>
      <c r="G138" s="6">
        <v>8</v>
      </c>
      <c r="H138" s="6">
        <v>1335</v>
      </c>
      <c r="I138" s="6">
        <v>62.102876999999992</v>
      </c>
      <c r="J138" s="7">
        <v>7</v>
      </c>
      <c r="K138" s="4">
        <f>Table1[[#This Row],[Quantity]]/Table1[[#This Row],[Orders]]</f>
        <v>166.875</v>
      </c>
      <c r="L138" s="4">
        <f>Table1[[#This Row],[Total CBM]]/Table1[[#This Row],[Orders]]</f>
        <v>7.762859624999999</v>
      </c>
      <c r="M138" s="6" t="s">
        <v>25</v>
      </c>
      <c r="N138" s="3" t="s">
        <v>26</v>
      </c>
    </row>
    <row r="139" spans="5:14" x14ac:dyDescent="0.3">
      <c r="E139" s="6" t="s">
        <v>173</v>
      </c>
      <c r="F139" s="6" t="s">
        <v>24</v>
      </c>
      <c r="G139" s="6">
        <v>7</v>
      </c>
      <c r="H139" s="6">
        <v>206</v>
      </c>
      <c r="I139" s="6">
        <v>8.8393300000000021</v>
      </c>
      <c r="J139" s="7">
        <v>5</v>
      </c>
      <c r="K139" s="4">
        <f>Table1[[#This Row],[Quantity]]/Table1[[#This Row],[Orders]]</f>
        <v>29.428571428571427</v>
      </c>
      <c r="L139" s="4">
        <f>Table1[[#This Row],[Total CBM]]/Table1[[#This Row],[Orders]]</f>
        <v>1.2627614285714288</v>
      </c>
      <c r="M139" s="6" t="s">
        <v>25</v>
      </c>
      <c r="N139" s="3" t="s">
        <v>26</v>
      </c>
    </row>
    <row r="140" spans="5:14" x14ac:dyDescent="0.3">
      <c r="E140" s="6" t="s">
        <v>174</v>
      </c>
      <c r="F140" s="6" t="s">
        <v>24</v>
      </c>
      <c r="G140" s="6">
        <v>404</v>
      </c>
      <c r="H140" s="6">
        <v>1228</v>
      </c>
      <c r="I140" s="6">
        <v>47.882087875333326</v>
      </c>
      <c r="J140" s="7">
        <v>33</v>
      </c>
      <c r="K140" s="4">
        <f>Table1[[#This Row],[Quantity]]/Table1[[#This Row],[Orders]]</f>
        <v>3.0396039603960396</v>
      </c>
      <c r="L140" s="4">
        <f>Table1[[#This Row],[Total CBM]]/Table1[[#This Row],[Orders]]</f>
        <v>0.11852001949339933</v>
      </c>
      <c r="M140" s="6" t="s">
        <v>25</v>
      </c>
      <c r="N140" s="3" t="s">
        <v>26</v>
      </c>
    </row>
    <row r="141" spans="5:14" x14ac:dyDescent="0.3">
      <c r="E141" s="6" t="s">
        <v>175</v>
      </c>
      <c r="F141" s="6" t="s">
        <v>24</v>
      </c>
      <c r="G141" s="6">
        <v>3</v>
      </c>
      <c r="H141" s="6">
        <v>191</v>
      </c>
      <c r="I141" s="6">
        <v>9.7777355000000004</v>
      </c>
      <c r="J141" s="7">
        <v>3</v>
      </c>
      <c r="K141" s="4">
        <f>Table1[[#This Row],[Quantity]]/Table1[[#This Row],[Orders]]</f>
        <v>63.666666666666664</v>
      </c>
      <c r="L141" s="4">
        <f>Table1[[#This Row],[Total CBM]]/Table1[[#This Row],[Orders]]</f>
        <v>3.2592451666666666</v>
      </c>
      <c r="M141" s="6" t="s">
        <v>25</v>
      </c>
      <c r="N141" s="3" t="s">
        <v>26</v>
      </c>
    </row>
    <row r="142" spans="5:14" x14ac:dyDescent="0.3">
      <c r="E142" s="6" t="s">
        <v>176</v>
      </c>
      <c r="F142" s="6" t="s">
        <v>24</v>
      </c>
      <c r="G142" s="6">
        <v>87</v>
      </c>
      <c r="H142" s="6">
        <v>232</v>
      </c>
      <c r="I142" s="6">
        <v>11.434768575000001</v>
      </c>
      <c r="J142" s="7">
        <v>27</v>
      </c>
      <c r="K142" s="4">
        <f>Table1[[#This Row],[Quantity]]/Table1[[#This Row],[Orders]]</f>
        <v>2.6666666666666665</v>
      </c>
      <c r="L142" s="4">
        <f>Table1[[#This Row],[Total CBM]]/Table1[[#This Row],[Orders]]</f>
        <v>0.13143412155172415</v>
      </c>
      <c r="M142" s="6" t="s">
        <v>25</v>
      </c>
      <c r="N142" s="3" t="s">
        <v>26</v>
      </c>
    </row>
    <row r="143" spans="5:14" x14ac:dyDescent="0.3">
      <c r="E143" s="6" t="s">
        <v>177</v>
      </c>
      <c r="F143" s="6" t="s">
        <v>24</v>
      </c>
      <c r="G143" s="6">
        <v>2</v>
      </c>
      <c r="H143" s="6">
        <v>1650</v>
      </c>
      <c r="I143" s="6">
        <v>81.061199999999999</v>
      </c>
      <c r="J143" s="7">
        <v>1</v>
      </c>
      <c r="K143" s="4">
        <f>Table1[[#This Row],[Quantity]]/Table1[[#This Row],[Orders]]</f>
        <v>825</v>
      </c>
      <c r="L143" s="4">
        <f>Table1[[#This Row],[Total CBM]]/Table1[[#This Row],[Orders]]</f>
        <v>40.5306</v>
      </c>
      <c r="M143" s="6" t="s">
        <v>25</v>
      </c>
      <c r="N143" s="3" t="s">
        <v>26</v>
      </c>
    </row>
    <row r="144" spans="5:14" x14ac:dyDescent="0.3">
      <c r="E144" s="6" t="s">
        <v>178</v>
      </c>
      <c r="F144" s="6" t="s">
        <v>24</v>
      </c>
      <c r="G144" s="6">
        <v>110</v>
      </c>
      <c r="H144" s="6">
        <v>2614</v>
      </c>
      <c r="I144" s="6">
        <v>170.87706799999995</v>
      </c>
      <c r="J144" s="7">
        <v>35</v>
      </c>
      <c r="K144" s="4">
        <f>Table1[[#This Row],[Quantity]]/Table1[[#This Row],[Orders]]</f>
        <v>23.763636363636362</v>
      </c>
      <c r="L144" s="4">
        <f>Table1[[#This Row],[Total CBM]]/Table1[[#This Row],[Orders]]</f>
        <v>1.5534278909090904</v>
      </c>
      <c r="M144" s="6" t="s">
        <v>25</v>
      </c>
      <c r="N144" s="3" t="s">
        <v>26</v>
      </c>
    </row>
    <row r="145" spans="5:14" x14ac:dyDescent="0.3">
      <c r="E145" s="6" t="s">
        <v>179</v>
      </c>
      <c r="F145" s="6" t="s">
        <v>24</v>
      </c>
      <c r="G145" s="6">
        <v>464</v>
      </c>
      <c r="H145" s="6">
        <v>2914</v>
      </c>
      <c r="I145" s="6">
        <v>172.12854419166663</v>
      </c>
      <c r="J145" s="7">
        <v>37</v>
      </c>
      <c r="K145" s="4">
        <f>Table1[[#This Row],[Quantity]]/Table1[[#This Row],[Orders]]</f>
        <v>6.2801724137931032</v>
      </c>
      <c r="L145" s="4">
        <f>Table1[[#This Row],[Total CBM]]/Table1[[#This Row],[Orders]]</f>
        <v>0.37096669006824706</v>
      </c>
      <c r="M145" s="6" t="s">
        <v>25</v>
      </c>
      <c r="N145" s="3" t="s">
        <v>26</v>
      </c>
    </row>
    <row r="146" spans="5:14" x14ac:dyDescent="0.3">
      <c r="E146" s="6" t="s">
        <v>180</v>
      </c>
      <c r="F146" s="6" t="s">
        <v>24</v>
      </c>
      <c r="G146" s="6">
        <v>74</v>
      </c>
      <c r="H146" s="6">
        <v>5107</v>
      </c>
      <c r="I146" s="6">
        <v>313.95521880000001</v>
      </c>
      <c r="J146" s="7">
        <v>25</v>
      </c>
      <c r="K146" s="4">
        <f>Table1[[#This Row],[Quantity]]/Table1[[#This Row],[Orders]]</f>
        <v>69.013513513513516</v>
      </c>
      <c r="L146" s="4">
        <f>Table1[[#This Row],[Total CBM]]/Table1[[#This Row],[Orders]]</f>
        <v>4.2426380918918918</v>
      </c>
      <c r="M146" s="6" t="s">
        <v>25</v>
      </c>
      <c r="N146" s="3" t="s">
        <v>26</v>
      </c>
    </row>
    <row r="147" spans="5:14" x14ac:dyDescent="0.3">
      <c r="E147" s="6" t="s">
        <v>181</v>
      </c>
      <c r="F147" s="6" t="s">
        <v>24</v>
      </c>
      <c r="G147" s="6">
        <v>43</v>
      </c>
      <c r="H147" s="6">
        <v>2933</v>
      </c>
      <c r="I147" s="6">
        <v>145.68440600000002</v>
      </c>
      <c r="J147" s="7">
        <v>31</v>
      </c>
      <c r="K147" s="4">
        <f>Table1[[#This Row],[Quantity]]/Table1[[#This Row],[Orders]]</f>
        <v>68.20930232558139</v>
      </c>
      <c r="L147" s="4">
        <f>Table1[[#This Row],[Total CBM]]/Table1[[#This Row],[Orders]]</f>
        <v>3.3880094418604658</v>
      </c>
      <c r="M147" s="6" t="s">
        <v>25</v>
      </c>
      <c r="N147" s="3" t="s">
        <v>26</v>
      </c>
    </row>
    <row r="148" spans="5:14" x14ac:dyDescent="0.3">
      <c r="E148" s="6" t="s">
        <v>181</v>
      </c>
      <c r="F148" s="6" t="s">
        <v>24</v>
      </c>
      <c r="G148" s="6">
        <v>36</v>
      </c>
      <c r="H148" s="6">
        <v>344</v>
      </c>
      <c r="I148" s="6">
        <v>18.974717485333336</v>
      </c>
      <c r="J148" s="7">
        <v>26</v>
      </c>
      <c r="K148" s="4">
        <f>Table1[[#This Row],[Quantity]]/Table1[[#This Row],[Orders]]</f>
        <v>9.5555555555555554</v>
      </c>
      <c r="L148" s="4">
        <f>Table1[[#This Row],[Total CBM]]/Table1[[#This Row],[Orders]]</f>
        <v>0.52707548570370377</v>
      </c>
      <c r="M148" s="6" t="s">
        <v>45</v>
      </c>
      <c r="N148" s="3" t="s">
        <v>26</v>
      </c>
    </row>
    <row r="149" spans="5:14" x14ac:dyDescent="0.3">
      <c r="E149" s="6" t="s">
        <v>182</v>
      </c>
      <c r="F149" s="6" t="s">
        <v>29</v>
      </c>
      <c r="G149" s="6">
        <v>321</v>
      </c>
      <c r="H149" s="6">
        <v>374.18333333333317</v>
      </c>
      <c r="I149" s="6">
        <v>28.438190931300017</v>
      </c>
      <c r="J149" s="7">
        <v>53</v>
      </c>
      <c r="K149" s="4">
        <f>Table1[[#This Row],[Quantity]]/Table1[[#This Row],[Orders]]</f>
        <v>1.1656801661474554</v>
      </c>
      <c r="L149" s="4">
        <f>Table1[[#This Row],[Total CBM]]/Table1[[#This Row],[Orders]]</f>
        <v>8.859249511308416E-2</v>
      </c>
      <c r="M149" s="6" t="s">
        <v>25</v>
      </c>
      <c r="N149" s="3" t="s">
        <v>26</v>
      </c>
    </row>
    <row r="150" spans="5:14" x14ac:dyDescent="0.3">
      <c r="E150" s="6" t="s">
        <v>183</v>
      </c>
      <c r="F150" s="6" t="s">
        <v>29</v>
      </c>
      <c r="G150" s="6">
        <v>26</v>
      </c>
      <c r="H150" s="6">
        <v>332.08333333333337</v>
      </c>
      <c r="I150" s="6">
        <v>18.733953430833335</v>
      </c>
      <c r="J150" s="7">
        <v>22</v>
      </c>
      <c r="K150" s="4">
        <f>Table1[[#This Row],[Quantity]]/Table1[[#This Row],[Orders]]</f>
        <v>12.7724358974359</v>
      </c>
      <c r="L150" s="4">
        <f>Table1[[#This Row],[Total CBM]]/Table1[[#This Row],[Orders]]</f>
        <v>0.72053667041666669</v>
      </c>
      <c r="M150" s="6" t="s">
        <v>25</v>
      </c>
      <c r="N150" s="3" t="s">
        <v>26</v>
      </c>
    </row>
    <row r="151" spans="5:14" x14ac:dyDescent="0.3">
      <c r="E151" s="6" t="s">
        <v>184</v>
      </c>
      <c r="F151" s="6" t="s">
        <v>29</v>
      </c>
      <c r="G151" s="6">
        <v>187</v>
      </c>
      <c r="H151" s="6">
        <v>800.75000000000011</v>
      </c>
      <c r="I151" s="6">
        <v>55.074942996000004</v>
      </c>
      <c r="J151" s="7">
        <v>70</v>
      </c>
      <c r="K151" s="4">
        <f>Table1[[#This Row],[Quantity]]/Table1[[#This Row],[Orders]]</f>
        <v>4.2820855614973272</v>
      </c>
      <c r="L151" s="4">
        <f>Table1[[#This Row],[Total CBM]]/Table1[[#This Row],[Orders]]</f>
        <v>0.29451841174331556</v>
      </c>
      <c r="M151" s="6" t="s">
        <v>25</v>
      </c>
      <c r="N151" s="3" t="s">
        <v>26</v>
      </c>
    </row>
    <row r="152" spans="5:14" x14ac:dyDescent="0.3">
      <c r="E152" s="6" t="s">
        <v>185</v>
      </c>
      <c r="F152" s="6" t="s">
        <v>29</v>
      </c>
      <c r="G152" s="6">
        <v>215</v>
      </c>
      <c r="H152" s="6">
        <v>901.14583333333348</v>
      </c>
      <c r="I152" s="6">
        <v>60.593598788499989</v>
      </c>
      <c r="J152" s="7">
        <v>125</v>
      </c>
      <c r="K152" s="4">
        <f>Table1[[#This Row],[Quantity]]/Table1[[#This Row],[Orders]]</f>
        <v>4.191375968992249</v>
      </c>
      <c r="L152" s="4">
        <f>Table1[[#This Row],[Total CBM]]/Table1[[#This Row],[Orders]]</f>
        <v>0.28183069203953481</v>
      </c>
      <c r="M152" s="6" t="s">
        <v>25</v>
      </c>
      <c r="N152" s="3" t="s">
        <v>26</v>
      </c>
    </row>
    <row r="153" spans="5:14" x14ac:dyDescent="0.3">
      <c r="E153" s="6" t="s">
        <v>186</v>
      </c>
      <c r="F153" s="6" t="s">
        <v>29</v>
      </c>
      <c r="G153" s="6">
        <v>141</v>
      </c>
      <c r="H153" s="6">
        <v>739.83333333333348</v>
      </c>
      <c r="I153" s="6">
        <v>44.247858391666689</v>
      </c>
      <c r="J153" s="7">
        <v>104</v>
      </c>
      <c r="K153" s="4">
        <f>Table1[[#This Row],[Quantity]]/Table1[[#This Row],[Orders]]</f>
        <v>5.2470449172576838</v>
      </c>
      <c r="L153" s="4">
        <f>Table1[[#This Row],[Total CBM]]/Table1[[#This Row],[Orders]]</f>
        <v>0.3138145985224588</v>
      </c>
      <c r="M153" s="6" t="s">
        <v>25</v>
      </c>
      <c r="N153" s="3" t="s">
        <v>26</v>
      </c>
    </row>
    <row r="154" spans="5:14" x14ac:dyDescent="0.3">
      <c r="E154" s="6" t="s">
        <v>187</v>
      </c>
      <c r="F154" s="6" t="s">
        <v>29</v>
      </c>
      <c r="G154" s="6">
        <v>273</v>
      </c>
      <c r="H154" s="6">
        <v>661.85416666666652</v>
      </c>
      <c r="I154" s="6">
        <v>34.521440710999983</v>
      </c>
      <c r="J154" s="7">
        <v>90</v>
      </c>
      <c r="K154" s="4">
        <f>Table1[[#This Row],[Quantity]]/Table1[[#This Row],[Orders]]</f>
        <v>2.4243742368742365</v>
      </c>
      <c r="L154" s="4">
        <f>Table1[[#This Row],[Total CBM]]/Table1[[#This Row],[Orders]]</f>
        <v>0.12645216377655671</v>
      </c>
      <c r="M154" s="6" t="s">
        <v>25</v>
      </c>
      <c r="N154" s="3" t="s">
        <v>26</v>
      </c>
    </row>
    <row r="155" spans="5:14" x14ac:dyDescent="0.3">
      <c r="E155" s="6" t="s">
        <v>188</v>
      </c>
      <c r="F155" s="6" t="s">
        <v>29</v>
      </c>
      <c r="G155" s="6">
        <v>52</v>
      </c>
      <c r="H155" s="6">
        <v>90.666666666666671</v>
      </c>
      <c r="I155" s="6">
        <v>5.407495679166666</v>
      </c>
      <c r="J155" s="7">
        <v>38</v>
      </c>
      <c r="K155" s="4">
        <f>Table1[[#This Row],[Quantity]]/Table1[[#This Row],[Orders]]</f>
        <v>1.7435897435897436</v>
      </c>
      <c r="L155" s="4">
        <f>Table1[[#This Row],[Total CBM]]/Table1[[#This Row],[Orders]]</f>
        <v>0.10399030152243588</v>
      </c>
      <c r="M155" s="6" t="s">
        <v>25</v>
      </c>
      <c r="N155" s="3" t="s">
        <v>26</v>
      </c>
    </row>
    <row r="156" spans="5:14" x14ac:dyDescent="0.3">
      <c r="E156" s="6" t="s">
        <v>189</v>
      </c>
      <c r="F156" s="6" t="s">
        <v>29</v>
      </c>
      <c r="G156" s="6">
        <v>98</v>
      </c>
      <c r="H156" s="6">
        <v>120.64166666666665</v>
      </c>
      <c r="I156" s="6">
        <v>7.6432570720833333</v>
      </c>
      <c r="J156" s="7">
        <v>50</v>
      </c>
      <c r="K156" s="4">
        <f>Table1[[#This Row],[Quantity]]/Table1[[#This Row],[Orders]]</f>
        <v>1.2310374149659862</v>
      </c>
      <c r="L156" s="4">
        <f>Table1[[#This Row],[Total CBM]]/Table1[[#This Row],[Orders]]</f>
        <v>7.7992419102891161E-2</v>
      </c>
      <c r="M156" s="6" t="s">
        <v>25</v>
      </c>
      <c r="N156" s="3" t="s">
        <v>26</v>
      </c>
    </row>
    <row r="157" spans="5:14" x14ac:dyDescent="0.3">
      <c r="E157" s="6" t="s">
        <v>190</v>
      </c>
      <c r="F157" s="6" t="s">
        <v>29</v>
      </c>
      <c r="G157" s="6">
        <v>175</v>
      </c>
      <c r="H157" s="6">
        <v>392.61805555555549</v>
      </c>
      <c r="I157" s="6">
        <v>26.60683311111114</v>
      </c>
      <c r="J157" s="7">
        <v>78</v>
      </c>
      <c r="K157" s="4">
        <f>Table1[[#This Row],[Quantity]]/Table1[[#This Row],[Orders]]</f>
        <v>2.2435317460317457</v>
      </c>
      <c r="L157" s="4">
        <f>Table1[[#This Row],[Total CBM]]/Table1[[#This Row],[Orders]]</f>
        <v>0.15203904634920651</v>
      </c>
      <c r="M157" s="6" t="s">
        <v>25</v>
      </c>
      <c r="N157" s="3" t="s">
        <v>26</v>
      </c>
    </row>
    <row r="158" spans="5:14" x14ac:dyDescent="0.3">
      <c r="E158" s="6" t="s">
        <v>191</v>
      </c>
      <c r="F158" s="6" t="s">
        <v>29</v>
      </c>
      <c r="G158" s="6">
        <v>156</v>
      </c>
      <c r="H158" s="6">
        <v>1373.3125</v>
      </c>
      <c r="I158" s="6">
        <v>61.005450136416655</v>
      </c>
      <c r="J158" s="7">
        <v>100</v>
      </c>
      <c r="K158" s="4">
        <f>Table1[[#This Row],[Quantity]]/Table1[[#This Row],[Orders]]</f>
        <v>8.8032852564102573</v>
      </c>
      <c r="L158" s="4">
        <f>Table1[[#This Row],[Total CBM]]/Table1[[#This Row],[Orders]]</f>
        <v>0.39106057779754266</v>
      </c>
      <c r="M158" s="6" t="s">
        <v>25</v>
      </c>
      <c r="N158" s="3" t="s">
        <v>26</v>
      </c>
    </row>
    <row r="159" spans="5:14" x14ac:dyDescent="0.3">
      <c r="E159" s="6" t="s">
        <v>192</v>
      </c>
      <c r="F159" s="6" t="s">
        <v>29</v>
      </c>
      <c r="G159" s="6">
        <v>188</v>
      </c>
      <c r="H159" s="6">
        <v>1210.291666666667</v>
      </c>
      <c r="I159" s="6">
        <v>53.846131660833336</v>
      </c>
      <c r="J159" s="7">
        <v>99</v>
      </c>
      <c r="K159" s="4">
        <f>Table1[[#This Row],[Quantity]]/Table1[[#This Row],[Orders]]</f>
        <v>6.4377216312056751</v>
      </c>
      <c r="L159" s="4">
        <f>Table1[[#This Row],[Total CBM]]/Table1[[#This Row],[Orders]]</f>
        <v>0.28641559394060284</v>
      </c>
      <c r="M159" s="6" t="s">
        <v>25</v>
      </c>
      <c r="N159" s="3" t="s">
        <v>26</v>
      </c>
    </row>
    <row r="160" spans="5:14" x14ac:dyDescent="0.3">
      <c r="E160" s="6" t="s">
        <v>192</v>
      </c>
      <c r="F160" s="6" t="s">
        <v>29</v>
      </c>
      <c r="G160" s="6">
        <v>45</v>
      </c>
      <c r="H160" s="6">
        <v>21.983333333333334</v>
      </c>
      <c r="I160" s="6">
        <v>1.4617050232833331</v>
      </c>
      <c r="J160" s="7">
        <v>38</v>
      </c>
      <c r="K160" s="4">
        <f>Table1[[#This Row],[Quantity]]/Table1[[#This Row],[Orders]]</f>
        <v>0.48851851851851852</v>
      </c>
      <c r="L160" s="4">
        <f>Table1[[#This Row],[Total CBM]]/Table1[[#This Row],[Orders]]</f>
        <v>3.2482333850740737E-2</v>
      </c>
      <c r="M160" s="6" t="s">
        <v>45</v>
      </c>
      <c r="N160" s="3" t="s">
        <v>26</v>
      </c>
    </row>
    <row r="161" spans="5:14" x14ac:dyDescent="0.3">
      <c r="E161" s="6" t="s">
        <v>193</v>
      </c>
      <c r="F161" s="6" t="s">
        <v>29</v>
      </c>
      <c r="G161" s="6">
        <v>36</v>
      </c>
      <c r="H161" s="6">
        <v>292.66666666666669</v>
      </c>
      <c r="I161" s="6">
        <v>23.070730221249995</v>
      </c>
      <c r="J161" s="7">
        <v>29</v>
      </c>
      <c r="K161" s="4">
        <f>Table1[[#This Row],[Quantity]]/Table1[[#This Row],[Orders]]</f>
        <v>8.1296296296296298</v>
      </c>
      <c r="L161" s="4">
        <f>Table1[[#This Row],[Total CBM]]/Table1[[#This Row],[Orders]]</f>
        <v>0.64085361725694434</v>
      </c>
      <c r="M161" s="6" t="s">
        <v>25</v>
      </c>
      <c r="N161" s="3" t="s">
        <v>26</v>
      </c>
    </row>
    <row r="162" spans="5:14" x14ac:dyDescent="0.3">
      <c r="E162" s="6" t="s">
        <v>193</v>
      </c>
      <c r="F162" s="6" t="s">
        <v>29</v>
      </c>
      <c r="G162" s="6">
        <v>9</v>
      </c>
      <c r="H162" s="6">
        <v>6.65</v>
      </c>
      <c r="I162" s="6">
        <v>0.51866049999999997</v>
      </c>
      <c r="J162" s="7">
        <v>8</v>
      </c>
      <c r="K162" s="4">
        <f>Table1[[#This Row],[Quantity]]/Table1[[#This Row],[Orders]]</f>
        <v>0.73888888888888893</v>
      </c>
      <c r="L162" s="4">
        <f>Table1[[#This Row],[Total CBM]]/Table1[[#This Row],[Orders]]</f>
        <v>5.7628944444444441E-2</v>
      </c>
      <c r="M162" s="6" t="s">
        <v>45</v>
      </c>
      <c r="N162" s="3" t="s">
        <v>26</v>
      </c>
    </row>
    <row r="163" spans="5:14" x14ac:dyDescent="0.3">
      <c r="E163" s="6" t="s">
        <v>194</v>
      </c>
      <c r="F163" s="6" t="s">
        <v>29</v>
      </c>
      <c r="G163" s="6">
        <v>294</v>
      </c>
      <c r="H163" s="6">
        <v>852.3732142857142</v>
      </c>
      <c r="I163" s="6">
        <v>44.376424459609488</v>
      </c>
      <c r="J163" s="7">
        <v>97</v>
      </c>
      <c r="K163" s="4">
        <f>Table1[[#This Row],[Quantity]]/Table1[[#This Row],[Orders]]</f>
        <v>2.8992286200194362</v>
      </c>
      <c r="L163" s="4">
        <f>Table1[[#This Row],[Total CBM]]/Table1[[#This Row],[Orders]]</f>
        <v>0.1509402192503724</v>
      </c>
      <c r="M163" s="6" t="s">
        <v>25</v>
      </c>
      <c r="N163" s="3" t="s">
        <v>26</v>
      </c>
    </row>
    <row r="164" spans="5:14" x14ac:dyDescent="0.3">
      <c r="E164" s="6" t="s">
        <v>195</v>
      </c>
      <c r="F164" s="6" t="s">
        <v>29</v>
      </c>
      <c r="G164" s="6">
        <v>171</v>
      </c>
      <c r="H164" s="6">
        <v>379.56666666666666</v>
      </c>
      <c r="I164" s="6">
        <v>23.653387311783337</v>
      </c>
      <c r="J164" s="7">
        <v>70</v>
      </c>
      <c r="K164" s="4">
        <f>Table1[[#This Row],[Quantity]]/Table1[[#This Row],[Orders]]</f>
        <v>2.2196881091617935</v>
      </c>
      <c r="L164" s="4">
        <f>Table1[[#This Row],[Total CBM]]/Table1[[#This Row],[Orders]]</f>
        <v>0.1383239024080897</v>
      </c>
      <c r="M164" s="6" t="s">
        <v>25</v>
      </c>
      <c r="N164" s="3" t="s">
        <v>26</v>
      </c>
    </row>
    <row r="165" spans="5:14" x14ac:dyDescent="0.3">
      <c r="E165" s="6" t="s">
        <v>196</v>
      </c>
      <c r="F165" s="6" t="s">
        <v>29</v>
      </c>
      <c r="G165" s="6">
        <v>238</v>
      </c>
      <c r="H165" s="6">
        <v>518.94999999999993</v>
      </c>
      <c r="I165" s="6">
        <v>31.976702644050008</v>
      </c>
      <c r="J165" s="7">
        <v>100</v>
      </c>
      <c r="K165" s="4">
        <f>Table1[[#This Row],[Quantity]]/Table1[[#This Row],[Orders]]</f>
        <v>2.1804621848739494</v>
      </c>
      <c r="L165" s="4">
        <f>Table1[[#This Row],[Total CBM]]/Table1[[#This Row],[Orders]]</f>
        <v>0.13435589346239499</v>
      </c>
      <c r="M165" s="6" t="s">
        <v>25</v>
      </c>
      <c r="N165" s="3" t="s">
        <v>26</v>
      </c>
    </row>
    <row r="166" spans="5:14" x14ac:dyDescent="0.3">
      <c r="E166" s="6" t="s">
        <v>197</v>
      </c>
      <c r="F166" s="6" t="s">
        <v>29</v>
      </c>
      <c r="G166" s="6">
        <v>258</v>
      </c>
      <c r="H166" s="6">
        <v>962.89583333333337</v>
      </c>
      <c r="I166" s="6">
        <v>49.39571287916668</v>
      </c>
      <c r="J166" s="7">
        <v>99</v>
      </c>
      <c r="K166" s="4">
        <f>Table1[[#This Row],[Quantity]]/Table1[[#This Row],[Orders]]</f>
        <v>3.7321543927648579</v>
      </c>
      <c r="L166" s="4">
        <f>Table1[[#This Row],[Total CBM]]/Table1[[#This Row],[Orders]]</f>
        <v>0.19145625146963829</v>
      </c>
      <c r="M166" s="6" t="s">
        <v>25</v>
      </c>
      <c r="N166" s="3" t="s">
        <v>26</v>
      </c>
    </row>
    <row r="167" spans="5:14" x14ac:dyDescent="0.3">
      <c r="E167" s="6" t="s">
        <v>198</v>
      </c>
      <c r="F167" s="6" t="s">
        <v>29</v>
      </c>
      <c r="G167" s="6">
        <v>289</v>
      </c>
      <c r="H167" s="6">
        <v>1310.2749999999999</v>
      </c>
      <c r="I167" s="6">
        <v>65.481324982866695</v>
      </c>
      <c r="J167" s="7">
        <v>141</v>
      </c>
      <c r="K167" s="4">
        <f>Table1[[#This Row],[Quantity]]/Table1[[#This Row],[Orders]]</f>
        <v>4.5338235294117641</v>
      </c>
      <c r="L167" s="4">
        <f>Table1[[#This Row],[Total CBM]]/Table1[[#This Row],[Orders]]</f>
        <v>0.22657897917946954</v>
      </c>
      <c r="M167" s="6" t="s">
        <v>25</v>
      </c>
      <c r="N167" s="3" t="s">
        <v>26</v>
      </c>
    </row>
    <row r="168" spans="5:14" x14ac:dyDescent="0.3">
      <c r="E168" s="6" t="s">
        <v>199</v>
      </c>
      <c r="F168" s="6" t="s">
        <v>29</v>
      </c>
      <c r="G168" s="6">
        <v>294</v>
      </c>
      <c r="H168" s="6">
        <v>920.50000000000023</v>
      </c>
      <c r="I168" s="6">
        <v>50.386163626833358</v>
      </c>
      <c r="J168" s="7">
        <v>91</v>
      </c>
      <c r="K168" s="4">
        <f>Table1[[#This Row],[Quantity]]/Table1[[#This Row],[Orders]]</f>
        <v>3.1309523809523818</v>
      </c>
      <c r="L168" s="4">
        <f>Table1[[#This Row],[Total CBM]]/Table1[[#This Row],[Orders]]</f>
        <v>0.17138150893480733</v>
      </c>
      <c r="M168" s="6" t="s">
        <v>25</v>
      </c>
      <c r="N168" s="3" t="s">
        <v>26</v>
      </c>
    </row>
    <row r="169" spans="5:14" x14ac:dyDescent="0.3">
      <c r="E169" s="6" t="s">
        <v>200</v>
      </c>
      <c r="F169" s="6" t="s">
        <v>29</v>
      </c>
      <c r="G169" s="6">
        <v>41</v>
      </c>
      <c r="H169" s="6">
        <v>205.5</v>
      </c>
      <c r="I169" s="6">
        <v>10.53444669266667</v>
      </c>
      <c r="J169" s="7">
        <v>33</v>
      </c>
      <c r="K169" s="4">
        <f>Table1[[#This Row],[Quantity]]/Table1[[#This Row],[Orders]]</f>
        <v>5.0121951219512191</v>
      </c>
      <c r="L169" s="4">
        <f>Table1[[#This Row],[Total CBM]]/Table1[[#This Row],[Orders]]</f>
        <v>0.25693772421138217</v>
      </c>
      <c r="M169" s="6" t="s">
        <v>25</v>
      </c>
      <c r="N169" s="3" t="s">
        <v>26</v>
      </c>
    </row>
    <row r="170" spans="5:14" x14ac:dyDescent="0.3">
      <c r="E170" s="6" t="s">
        <v>201</v>
      </c>
      <c r="F170" s="6" t="s">
        <v>29</v>
      </c>
      <c r="G170" s="6">
        <v>179</v>
      </c>
      <c r="H170" s="6">
        <v>871.79166666666663</v>
      </c>
      <c r="I170" s="6">
        <v>35.378236106199971</v>
      </c>
      <c r="J170" s="7">
        <v>93</v>
      </c>
      <c r="K170" s="4">
        <f>Table1[[#This Row],[Quantity]]/Table1[[#This Row],[Orders]]</f>
        <v>4.8703445065176902</v>
      </c>
      <c r="L170" s="4">
        <f>Table1[[#This Row],[Total CBM]]/Table1[[#This Row],[Orders]]</f>
        <v>0.19764377712960879</v>
      </c>
      <c r="M170" s="6" t="s">
        <v>25</v>
      </c>
      <c r="N170" s="3" t="s">
        <v>26</v>
      </c>
    </row>
    <row r="171" spans="5:14" x14ac:dyDescent="0.3">
      <c r="E171" s="6" t="s">
        <v>201</v>
      </c>
      <c r="F171" s="6" t="s">
        <v>29</v>
      </c>
      <c r="G171" s="6">
        <v>11</v>
      </c>
      <c r="H171" s="6">
        <v>5.7916666666666661</v>
      </c>
      <c r="I171" s="6">
        <v>0.33669275000000004</v>
      </c>
      <c r="J171" s="7">
        <v>11</v>
      </c>
      <c r="K171" s="4">
        <f>Table1[[#This Row],[Quantity]]/Table1[[#This Row],[Orders]]</f>
        <v>0.52651515151515149</v>
      </c>
      <c r="L171" s="4">
        <f>Table1[[#This Row],[Total CBM]]/Table1[[#This Row],[Orders]]</f>
        <v>3.0608431818181823E-2</v>
      </c>
      <c r="M171" s="6" t="s">
        <v>45</v>
      </c>
      <c r="N171" s="3" t="s">
        <v>26</v>
      </c>
    </row>
    <row r="172" spans="5:14" x14ac:dyDescent="0.3">
      <c r="E172" s="6" t="s">
        <v>202</v>
      </c>
      <c r="F172" s="6" t="s">
        <v>29</v>
      </c>
      <c r="G172" s="6">
        <v>143</v>
      </c>
      <c r="H172" s="6">
        <v>1009.7499999999999</v>
      </c>
      <c r="I172" s="6">
        <v>48.278466680666689</v>
      </c>
      <c r="J172" s="7">
        <v>84</v>
      </c>
      <c r="K172" s="4">
        <f>Table1[[#This Row],[Quantity]]/Table1[[#This Row],[Orders]]</f>
        <v>7.0611888111888108</v>
      </c>
      <c r="L172" s="4">
        <f>Table1[[#This Row],[Total CBM]]/Table1[[#This Row],[Orders]]</f>
        <v>0.33761165510955726</v>
      </c>
      <c r="M172" s="6" t="s">
        <v>25</v>
      </c>
      <c r="N172" s="3" t="s">
        <v>26</v>
      </c>
    </row>
    <row r="173" spans="5:14" x14ac:dyDescent="0.3">
      <c r="E173" s="6" t="s">
        <v>203</v>
      </c>
      <c r="F173" s="6" t="s">
        <v>29</v>
      </c>
      <c r="G173" s="6">
        <v>580</v>
      </c>
      <c r="H173" s="6">
        <v>1094.4499999999989</v>
      </c>
      <c r="I173" s="6">
        <v>63.673025995266656</v>
      </c>
      <c r="J173" s="7">
        <v>94</v>
      </c>
      <c r="K173" s="4">
        <f>Table1[[#This Row],[Quantity]]/Table1[[#This Row],[Orders]]</f>
        <v>1.8869827586206878</v>
      </c>
      <c r="L173" s="4">
        <f>Table1[[#This Row],[Total CBM]]/Table1[[#This Row],[Orders]]</f>
        <v>0.10978107930218389</v>
      </c>
      <c r="M173" s="6" t="s">
        <v>25</v>
      </c>
      <c r="N173" s="3" t="s">
        <v>26</v>
      </c>
    </row>
    <row r="174" spans="5:14" x14ac:dyDescent="0.3">
      <c r="E174" s="6" t="s">
        <v>204</v>
      </c>
      <c r="F174" s="6" t="s">
        <v>29</v>
      </c>
      <c r="G174" s="6">
        <v>243</v>
      </c>
      <c r="H174" s="6">
        <v>976.9791666666664</v>
      </c>
      <c r="I174" s="6">
        <v>59.182759728416677</v>
      </c>
      <c r="J174" s="7">
        <v>133</v>
      </c>
      <c r="K174" s="4">
        <f>Table1[[#This Row],[Quantity]]/Table1[[#This Row],[Orders]]</f>
        <v>4.0204903978052116</v>
      </c>
      <c r="L174" s="4">
        <f>Table1[[#This Row],[Total CBM]]/Table1[[#This Row],[Orders]]</f>
        <v>0.24355045155727029</v>
      </c>
      <c r="M174" s="6" t="s">
        <v>25</v>
      </c>
      <c r="N174" s="3" t="s">
        <v>26</v>
      </c>
    </row>
    <row r="175" spans="5:14" x14ac:dyDescent="0.3">
      <c r="E175" s="6" t="s">
        <v>205</v>
      </c>
      <c r="F175" s="6" t="s">
        <v>29</v>
      </c>
      <c r="G175" s="6">
        <v>184</v>
      </c>
      <c r="H175" s="6">
        <v>1000.4583333333333</v>
      </c>
      <c r="I175" s="6">
        <v>66.85849636899998</v>
      </c>
      <c r="J175" s="7">
        <v>75</v>
      </c>
      <c r="K175" s="4">
        <f>Table1[[#This Row],[Quantity]]/Table1[[#This Row],[Orders]]</f>
        <v>5.4372735507246377</v>
      </c>
      <c r="L175" s="4">
        <f>Table1[[#This Row],[Total CBM]]/Table1[[#This Row],[Orders]]</f>
        <v>0.36336139330978251</v>
      </c>
      <c r="M175" s="6" t="s">
        <v>25</v>
      </c>
      <c r="N175" s="3" t="s">
        <v>26</v>
      </c>
    </row>
    <row r="176" spans="5:14" x14ac:dyDescent="0.3">
      <c r="E176" s="6" t="s">
        <v>206</v>
      </c>
      <c r="F176" s="6" t="s">
        <v>29</v>
      </c>
      <c r="G176" s="6">
        <v>113</v>
      </c>
      <c r="H176" s="6">
        <v>827.02083333333326</v>
      </c>
      <c r="I176" s="6">
        <v>37.75795382375</v>
      </c>
      <c r="J176" s="7">
        <v>80</v>
      </c>
      <c r="K176" s="4">
        <f>Table1[[#This Row],[Quantity]]/Table1[[#This Row],[Orders]]</f>
        <v>7.3187684365781704</v>
      </c>
      <c r="L176" s="4">
        <f>Table1[[#This Row],[Total CBM]]/Table1[[#This Row],[Orders]]</f>
        <v>0.33414118428097345</v>
      </c>
      <c r="M176" s="6" t="s">
        <v>25</v>
      </c>
      <c r="N176" s="3" t="s">
        <v>26</v>
      </c>
    </row>
    <row r="177" spans="5:14" x14ac:dyDescent="0.3">
      <c r="E177" s="6" t="s">
        <v>206</v>
      </c>
      <c r="F177" s="6" t="s">
        <v>29</v>
      </c>
      <c r="G177" s="6">
        <v>2</v>
      </c>
      <c r="H177" s="6">
        <v>1.5</v>
      </c>
      <c r="I177" s="6">
        <v>9.9084000000000005E-2</v>
      </c>
      <c r="J177" s="7">
        <v>2</v>
      </c>
      <c r="K177" s="4">
        <f>Table1[[#This Row],[Quantity]]/Table1[[#This Row],[Orders]]</f>
        <v>0.75</v>
      </c>
      <c r="L177" s="4">
        <f>Table1[[#This Row],[Total CBM]]/Table1[[#This Row],[Orders]]</f>
        <v>4.9542000000000003E-2</v>
      </c>
      <c r="M177" s="6" t="s">
        <v>45</v>
      </c>
      <c r="N177" s="3" t="s">
        <v>26</v>
      </c>
    </row>
    <row r="178" spans="5:14" x14ac:dyDescent="0.3">
      <c r="E178" s="6" t="s">
        <v>207</v>
      </c>
      <c r="F178" s="6" t="s">
        <v>29</v>
      </c>
      <c r="G178" s="6">
        <v>259</v>
      </c>
      <c r="H178" s="6">
        <v>1383.3499999999995</v>
      </c>
      <c r="I178" s="6">
        <v>84.454952080700039</v>
      </c>
      <c r="J178" s="7">
        <v>114</v>
      </c>
      <c r="K178" s="4">
        <f>Table1[[#This Row],[Quantity]]/Table1[[#This Row],[Orders]]</f>
        <v>5.3411196911196894</v>
      </c>
      <c r="L178" s="4">
        <f>Table1[[#This Row],[Total CBM]]/Table1[[#This Row],[Orders]]</f>
        <v>0.32608089606447893</v>
      </c>
      <c r="M178" s="6" t="s">
        <v>25</v>
      </c>
      <c r="N178" s="3" t="s">
        <v>26</v>
      </c>
    </row>
    <row r="179" spans="5:14" x14ac:dyDescent="0.3">
      <c r="E179" s="6" t="s">
        <v>207</v>
      </c>
      <c r="F179" s="6" t="s">
        <v>29</v>
      </c>
      <c r="G179" s="6">
        <v>37</v>
      </c>
      <c r="H179" s="6">
        <v>11.899999999999999</v>
      </c>
      <c r="I179" s="6">
        <v>0.7837255424166667</v>
      </c>
      <c r="J179" s="7">
        <v>32</v>
      </c>
      <c r="K179" s="4">
        <f>Table1[[#This Row],[Quantity]]/Table1[[#This Row],[Orders]]</f>
        <v>0.32162162162162156</v>
      </c>
      <c r="L179" s="4">
        <f>Table1[[#This Row],[Total CBM]]/Table1[[#This Row],[Orders]]</f>
        <v>2.1181771416666668E-2</v>
      </c>
      <c r="M179" s="6" t="s">
        <v>45</v>
      </c>
      <c r="N179" s="3" t="s">
        <v>26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4A97D-A467-41A9-B193-15D5914A80F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Huy Quân (31241027826)</dc:creator>
  <cp:lastModifiedBy>Vũ Huy Quân (31241027826)</cp:lastModifiedBy>
  <dcterms:created xsi:type="dcterms:W3CDTF">2026-06-08T16:46:27Z</dcterms:created>
  <dcterms:modified xsi:type="dcterms:W3CDTF">2026-06-08T16:47:10Z</dcterms:modified>
</cp:coreProperties>
</file>